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df814e3d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s" sheetId="3" r:id="R8d26734e9a254bab"/>
    <x:sheet xmlns:r="http://schemas.openxmlformats.org/officeDocument/2006/relationships" name="Summary" sheetId="6" r:id="R2bc258d78809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10"/>
      <x:color rgb="FF1F2937"/>
      <x:name val="Arial"/>
    </x:font>
    <x:font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EEF4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2" fillId="2" borderId="1" xfId="0" applyFont="1" applyFill="1" applyBorder="1" applyAlignment="1">
      <x:alignment vertical="top" wrapText="1"/>
    </x:xf>
    <x:xf numFmtId="0" fontId="3" fillId="3" borderId="1" xfId="0" applyFont="1" applyFill="1" applyBorder="1" applyAlignment="1">
      <x:alignment vertical="center" wrapText="1"/>
    </x:xf>
    <x:xf numFmtId="0" fontId="2" fillId="2" borderId="0" xfId="0" applyFont="1" applyFill="1"/>
    <x:xf numFmtId="0" fontId="2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horizontal="left"/>
    </x:xf>
    <x:xf numFmtId="0" fontId="2" fillId="2" borderId="1" xfId="0" applyFont="1" applyFill="1" applyBorder="1" applyAlignment="1">
      <x:alignment horizontal="center"/>
    </x:xf>
    <x:xf numFmtId="0" fontId="3" fillId="4" borderId="1" xfId="0" applyFont="1" applyFill="1" applyBorder="1"/>
    <x:xf numFmtId="0" fontId="3" fillId="3" borderId="1" xfId="0" applyFont="1" applyFill="1" applyBorder="1" applyAlignment="1">
      <x:alignment wrapText="1"/>
    </x:xf>
    <x:xf numFmtId="0" fontId="2" fillId="6" borderId="1" xfId="0" applyFont="1" applyFill="1" applyBorder="1" applyAlignment="1">
      <x:alignment wrapText="1"/>
    </x:xf>
    <x:xf numFmtId="0" fontId="5" fillId="6" borderId="1" xfId="0" applyFont="1" applyFill="1" applyBorder="1" applyAlignment="1">
      <x:alignment wrapText="1"/>
    </x:xf>
    <x:xf numFmtId="0" fontId="4" fillId="5" borderId="0" xfId="0" applyFont="1" applyFill="1" applyAlignment="1">
      <x:alignment wrapText="1"/>
    </x:xf>
  </x:cellXfs>
  <x:cellStyles count="1">
    <x:cellStyle name="Normal" xfId="0"/>
  </x:cellStyles>
  <x:dxfs count="12">
    <x:dxf>
      <x:font>
        <x:b/>
        <x:color rgb="FFFFFFFF"/>
      </x:font>
      <x:fill>
        <x:patternFill>
          <x:bgColor rgb="FFC62828"/>
        </x:patternFill>
      </x:fill>
    </x:dxf>
    <x:dxf>
      <x:font>
        <x:b/>
        <x:color rgb="FF1F2937"/>
      </x:font>
      <x:fill>
        <x:patternFill>
          <x:bgColor rgb="FFF4B942"/>
        </x:patternFill>
      </x:fill>
    </x:dxf>
    <x:dxf>
      <x:font>
        <x:b/>
        <x:color rgb="FF1F2937"/>
      </x:font>
      <x:fill>
        <x:patternFill>
          <x:bgColor rgb="FFA5D66A"/>
        </x:patternFill>
      </x:fill>
    </x:dxf>
    <x:dxf>
      <x:font>
        <x:b/>
        <x:color rgb="FFFFFFFF"/>
      </x:font>
      <x:fill>
        <x:patternFill>
          <x:bgColor rgb="FF2E7D32"/>
        </x:patternFill>
      </x:fill>
    </x:dxf>
    <x:dxf>
      <x:font>
        <x:color rgb="FFFFFFFF"/>
      </x:font>
      <x:fill>
        <x:patternFill>
          <x:bgColor rgb="FFC62828"/>
        </x:patternFill>
      </x:fill>
    </x:dxf>
    <x:dxf>
      <x:font>
        <x:color rgb="FF000000"/>
      </x:font>
      <x:fill>
        <x:patternFill>
          <x:bgColor rgb="FFF4BB40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color rgb="FF000000"/>
      </x:font>
      <x:fill>
        <x:patternFill>
          <x:bgColor rgb="FFC6E0B4"/>
        </x:patternFill>
      </x:fill>
    </x:dxf>
    <x:dxf>
      <x:font>
        <x:b/>
        <x:color rgb="FFFFFFFF"/>
      </x:font>
      <x:fill>
        <x:patternFill>
          <x:bgColor rgb="FFC62828"/>
        </x:patternFill>
      </x:fill>
    </x:dxf>
    <x:dxf>
      <x:font>
        <x:b/>
        <x:color rgb="FF1F2937"/>
      </x:font>
      <x:fill>
        <x:patternFill>
          <x:bgColor rgb="FFF4B942"/>
        </x:patternFill>
      </x:fill>
    </x:dxf>
    <x:dxf>
      <x:font>
        <x:b/>
        <x:color rgb="FF1F2937"/>
      </x:font>
      <x:fill>
        <x:patternFill>
          <x:bgColor rgb="FFA5D66A"/>
        </x:patternFill>
      </x:fill>
    </x:dxf>
    <x:dxf>
      <x:font>
        <x:b/>
        <x:color rgb="FFFFFFFF"/>
      </x:font>
      <x:fill>
        <x:patternFill>
          <x:bgColor rgb="FF2E7D3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a727424a645c7" /><Relationship Type="http://schemas.openxmlformats.org/officeDocument/2006/relationships/theme" Target="/xl/theme/theme1.xml" Id="R6f8069b63e93403f" /><Relationship Type="http://schemas.openxmlformats.org/officeDocument/2006/relationships/sharedStrings" Target="/xl/sharedStrings.xml" Id="R8c0c480c8b7f48c2" /><Relationship Type="http://schemas.openxmlformats.org/officeDocument/2006/relationships/worksheet" Target="/xl/worksheets/sheet1.xml" Id="R8d26734e9a254bab" /><Relationship Type="http://schemas.openxmlformats.org/officeDocument/2006/relationships/worksheet" Target="/xl/worksheets/sheet2.xml" Id="R2bc258d788094b6d" /></Relationships>
</file>

<file path=xl/tables/table1.xml><?xml version="1.0" encoding="utf-8"?>
<x:table xmlns:x="http://schemas.openxmlformats.org/spreadsheetml/2006/main" id="2" name="LongEvidenceTable" displayName="LongEvidenceTable" ref="A1:I120" totalsRowShown="0">
  <x:tableColumns count="9">
    <x:tableColumn id="1" name="study_id"/>
    <x:tableColumn id="2" name="report_id"/>
    <x:tableColumn id="3" name="outcome_group"/>
    <x:tableColumn id="4" name="item_number"/>
    <x:tableColumn id="5" name="item_label"/>
    <x:tableColumn id="6" name="step1_or_count"/>
    <x:tableColumn id="7" name="risk_judgment"/>
    <x:tableColumn id="8" name="support_for_judgment"/>
    <x:tableColumn id="9" name="source_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c67c9a239a42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customWidth="1"/>
    <x:col min="2" max="2" width="25" customWidth="1"/>
    <x:col min="3" max="3" width="38" customWidth="1"/>
    <x:col min="4" max="4" width="13" customWidth="1"/>
    <x:col min="5" max="5" width="34" customWidth="1"/>
    <x:col min="6" max="6" width="22" customWidth="1"/>
    <x:col min="7" max="7" width="15" customWidth="1"/>
    <x:col min="8" max="8" width="72" customWidth="1"/>
    <x:col min="9" max="9" width="42" customWidth="1"/>
  </x:cols>
  <x:sheetData>
    <x:row r="1" ht="34" customHeight="1">
      <x:c r="A1" s="2" t="str">
        <x:v>study_id</x:v>
      </x:c>
      <x:c r="B1" s="2" t="str">
        <x:v>report_id</x:v>
      </x:c>
      <x:c r="C1" s="2" t="str">
        <x:v>outcome_group</x:v>
      </x:c>
      <x:c r="D1" s="2" t="str">
        <x:v>item_number</x:v>
      </x:c>
      <x:c r="E1" s="2" t="str">
        <x:v>item_label</x:v>
      </x:c>
      <x:c r="F1" s="2" t="str">
        <x:v>step1_or_count</x:v>
      </x:c>
      <x:c r="G1" s="2" t="str">
        <x:v>risk_judgment</x:v>
      </x:c>
      <x:c r="H1" s="2" t="str">
        <x:v>support_for_judgment</x:v>
      </x:c>
      <x:c r="I1" s="2" t="str">
        <x:v>source_provenance</x:v>
      </x:c>
    </x:row>
    <x:row r="2" ht="34" customHeight="1">
      <x:c r="A2" s="1" t="str">
        <x:v>Bandin_2015</x:v>
      </x:c>
      <x:c r="B2" s="1" t="str">
        <x:v>Bandin_2015_primary</x:v>
      </x:c>
      <x:c r="C2" s="1" t="str">
        <x:v>Acute glucose AUC/iAUC and timed glucose/CGM outcomes</x:v>
      </x:c>
      <x:c r="D2" s="1" t="n">
        <x:v>1</x:v>
      </x:c>
      <x:c r="E2" s="1" t="str">
        <x:v>Random sequence generation</x:v>
      </x:c>
      <x:c r="F2" s="1" t="str">
        <x:v>Definitely Yes</x:v>
      </x:c>
      <x:c r="G2" s="1" t="str">
        <x:v>Definitely Low</x:v>
      </x:c>
      <x:c r="H2" s="1" t="str">
        <x:v>Balanced block size 2 sequence generated with randomization.com.</x:v>
      </x:c>
      <x:c r="I2" s="1" t="str">
        <x:v>PDF pp6–9; Methods/Results</x:v>
      </x:c>
    </x:row>
    <x:row r="3" ht="34" customHeight="1">
      <x:c r="A3" s="1" t="str">
        <x:v>Bandin_2015</x:v>
      </x:c>
      <x:c r="B3" s="1" t="str">
        <x:v>Bandin_2015_primary</x:v>
      </x:c>
      <x:c r="C3" s="1" t="str">
        <x:v>Acute glucose AUC/iAUC and timed glucose/CGM outcomes</x:v>
      </x:c>
      <x:c r="D3" s="1" t="n">
        <x:v>2</x:v>
      </x:c>
      <x:c r="E3" s="1" t="str">
        <x:v>Allocation concealment</x:v>
      </x:c>
      <x:c r="F3" s="1" t="str">
        <x:v>Probably No</x:v>
      </x:c>
      <x:c r="G3" s="1" t="str">
        <x:v>Probably High</x:v>
      </x:c>
      <x:c r="H3" s="1" t="str">
        <x:v>No method reported to conceal the intervention sequence before enrollment/assignment.</x:v>
      </x:c>
      <x:c r="I3" s="1" t="str">
        <x:v>PDF pp6–9; Methods/Results</x:v>
      </x:c>
    </x:row>
    <x:row r="4" ht="34" customHeight="1">
      <x:c r="A4" s="1" t="str">
        <x:v>Bandin_2015</x:v>
      </x:c>
      <x:c r="B4" s="1" t="str">
        <x:v>Bandin_2015_primary</x:v>
      </x:c>
      <x:c r="C4" s="1" t="str">
        <x:v>Acute glucose AUC/iAUC and timed glucose/CGM outcomes</x:v>
      </x:c>
      <x:c r="D4" s="1" t="n">
        <x:v>3</x:v>
      </x:c>
      <x:c r="E4" s="1" t="str">
        <x:v>Blinding of participants</x:v>
      </x:c>
      <x:c r="F4" s="1" t="str">
        <x:v>Probably No</x:v>
      </x:c>
      <x:c r="G4" s="1" t="str">
        <x:v>Probably Low</x:v>
      </x:c>
      <x:c r="H4" s="1" t="str">
        <x:v>Timing could not be masked; standardized meals and sleep schedules make expectation/cointervention effects on glucose unlikely.</x:v>
      </x:c>
      <x:c r="I4" s="1" t="str">
        <x:v>PDF pp6–9; Methods/Results</x:v>
      </x:c>
    </x:row>
    <x:row r="5" ht="34" customHeight="1">
      <x:c r="A5" s="1" t="str">
        <x:v>Bandin_2015</x:v>
      </x:c>
      <x:c r="B5" s="1" t="str">
        <x:v>Bandin_2015_primary</x:v>
      </x:c>
      <x:c r="C5" s="1" t="str">
        <x:v>Acute glucose AUC/iAUC and timed glucose/CGM outcomes</x:v>
      </x:c>
      <x:c r="D5" s="1" t="n">
        <x:v>4</x:v>
      </x:c>
      <x:c r="E5" s="1" t="str">
        <x:v>Blinding of healthcare providers</x:v>
      </x:c>
      <x:c r="F5" s="1" t="str">
        <x:v>Probably No</x:v>
      </x:c>
      <x:c r="G5" s="1" t="str">
        <x:v>Probably Low</x:v>
      </x:c>
      <x:c r="H5" s="1" t="str">
        <x:v>Staff delivered a visible timing intervention, but procedures and meals were standardized.</x:v>
      </x:c>
      <x:c r="I5" s="1" t="str">
        <x:v>PDF pp6–9; Methods/Results</x:v>
      </x:c>
    </x:row>
    <x:row r="6" ht="34" customHeight="1">
      <x:c r="A6" s="1" t="str">
        <x:v>Bandin_2015</x:v>
      </x:c>
      <x:c r="B6" s="1" t="str">
        <x:v>Bandin_2015_primary</x:v>
      </x:c>
      <x:c r="C6" s="1" t="str">
        <x:v>Acute glucose AUC/iAUC and timed glucose/CGM outcomes</x:v>
      </x:c>
      <x:c r="D6" s="1" t="n">
        <x:v>5</x:v>
      </x:c>
      <x:c r="E6" s="1" t="str">
        <x:v>Blinding of outcome assessors</x:v>
      </x:c>
      <x:c r="F6" s="1" t="str">
        <x:v>Probably No</x:v>
      </x:c>
      <x:c r="G6" s="1" t="str">
        <x:v>Probably Low</x:v>
      </x:c>
      <x:c r="H6" s="1" t="str">
        <x:v>Blinding not reported; glucose was measured instrumentally with minimal assessor judgment.</x:v>
      </x:c>
      <x:c r="I6" s="1" t="str">
        <x:v>PDF pp6–9; Methods/Results</x:v>
      </x:c>
    </x:row>
    <x:row r="7" ht="34" customHeight="1">
      <x:c r="A7" s="1" t="str">
        <x:v>Bandin_2015</x:v>
      </x:c>
      <x:c r="B7" s="1" t="str">
        <x:v>Bandin_2015_primary</x:v>
      </x:c>
      <x:c r="C7" s="1" t="str">
        <x:v>Acute glucose AUC/iAUC and timed glucose/CGM outcomes</x:v>
      </x:c>
      <x:c r="D7" s="1" t="n">
        <x:v>6</x:v>
      </x:c>
      <x:c r="E7" s="1" t="str">
        <x:v>Outcome data not included in analysis</x:v>
      </x:c>
      <x:c r="F7" s="1" t="str">
        <x:v>0/10</x:v>
      </x:c>
      <x:c r="G7" s="1" t="str">
        <x:v>Definitely Low</x:v>
      </x:c>
      <x:c r="H7" s="1" t="str">
        <x:v>All 10 women selected for Protocol 1 completed both timing conditions and contributed glucose data.</x:v>
      </x:c>
      <x:c r="I7" s="1" t="str">
        <x:v>PDF pp6–9; Methods/Results</x:v>
      </x:c>
    </x:row>
    <x:row r="8" ht="34" customHeight="1">
      <x:c r="A8" s="1" t="str">
        <x:v>Bandin_2015</x:v>
      </x:c>
      <x:c r="B8" s="1" t="str">
        <x:v>Bandin_2015_primary</x:v>
      </x:c>
      <x:c r="C8" s="1" t="str">
        <x:v>Acute glucose AUC/iAUC and timed glucose/CGM outcomes</x:v>
      </x:c>
      <x:c r="D8" s="1" t="n">
        <x:v>7</x:v>
      </x:c>
      <x:c r="E8" s="1" t="str">
        <x:v>Selective reporting (optional)</x:v>
      </x:c>
      <x:c r="F8" s="1" t="str">
        <x:v>Review-specific optional item</x:v>
      </x:c>
      <x:c r="G8" s="1" t="str">
        <x:v>Probably Low</x:v>
      </x:c>
      <x:c r="H8" s="1" t="str">
        <x:v>No prospective protocol/SAP was available for this assessment, but glucose outcomes and both conditions were reported without an evident discrepancy.</x:v>
      </x:c>
      <x:c r="I8" s="1" t="str">
        <x:v>PDF pp6–9; Methods/Results</x:v>
      </x:c>
    </x:row>
    <x:row r="9" ht="34" customHeight="1">
      <x:c r="A9" s="1" t="str">
        <x:v>Bo_2015</x:v>
      </x:c>
      <x:c r="B9" s="1" t="str">
        <x:v>Bo_2015_primary</x:v>
      </x:c>
      <x:c r="C9" s="1" t="str">
        <x:v>Acute glucose AUC/iAUC and timed glucose/CGM outcomes</x:v>
      </x:c>
      <x:c r="D9" s="1" t="n">
        <x:v>1</x:v>
      </x:c>
      <x:c r="E9" s="1" t="str">
        <x:v>Random sequence generation</x:v>
      </x:c>
      <x:c r="F9" s="1" t="str">
        <x:v>Definitely Yes</x:v>
      </x:c>
      <x:c r="G9" s="1" t="str">
        <x:v>Definitely Low</x:v>
      </x:c>
      <x:c r="H9" s="1" t="str">
        <x:v>Computer-generated morning/evening sequence using blocks of different lengths in random order.</x:v>
      </x:c>
      <x:c r="I9" s="1" t="str">
        <x:v>PDF pp4–8; Randomization/Blinding</x:v>
      </x:c>
    </x:row>
    <x:row r="10" ht="34" customHeight="1">
      <x:c r="A10" s="1" t="str">
        <x:v>Bo_2015</x:v>
      </x:c>
      <x:c r="B10" s="1" t="str">
        <x:v>Bo_2015_primary</x:v>
      </x:c>
      <x:c r="C10" s="1" t="str">
        <x:v>Acute glucose AUC/iAUC and timed glucose/CGM outcomes</x:v>
      </x:c>
      <x:c r="D10" s="1" t="n">
        <x:v>2</x:v>
      </x:c>
      <x:c r="E10" s="1" t="str">
        <x:v>Allocation concealment</x:v>
      </x:c>
      <x:c r="F10" s="1" t="str">
        <x:v>Probably No</x:v>
      </x:c>
      <x:c r="G10" s="1" t="str">
        <x:v>Probably High</x:v>
      </x:c>
      <x:c r="H10" s="1" t="str">
        <x:v>No allocation-concealment procedure was reported for the sequence.</x:v>
      </x:c>
      <x:c r="I10" s="1" t="str">
        <x:v>PDF pp4–8; Randomization/Blinding</x:v>
      </x:c>
    </x:row>
    <x:row r="11" ht="34" customHeight="1">
      <x:c r="A11" s="1" t="str">
        <x:v>Bo_2015</x:v>
      </x:c>
      <x:c r="B11" s="1" t="str">
        <x:v>Bo_2015_primary</x:v>
      </x:c>
      <x:c r="C11" s="1" t="str">
        <x:v>Acute glucose AUC/iAUC and timed glucose/CGM outcomes</x:v>
      </x:c>
      <x:c r="D11" s="1" t="n">
        <x:v>3</x:v>
      </x:c>
      <x:c r="E11" s="1" t="str">
        <x:v>Blinding of participants</x:v>
      </x:c>
      <x:c r="F11" s="1" t="str">
        <x:v>Definitely No</x:v>
      </x:c>
      <x:c r="G11" s="1" t="str">
        <x:v>Probably Low</x:v>
      </x:c>
      <x:c r="H11" s="1" t="str">
        <x:v>Report explicitly states participants were not blinded; identical meals and controlled laboratory procedures limit influence on objective glucose.</x:v>
      </x:c>
      <x:c r="I11" s="1" t="str">
        <x:v>PDF pp4–8; Randomization/Blinding</x:v>
      </x:c>
    </x:row>
    <x:row r="12" ht="34" customHeight="1">
      <x:c r="A12" s="1" t="str">
        <x:v>Bo_2015</x:v>
      </x:c>
      <x:c r="B12" s="1" t="str">
        <x:v>Bo_2015_primary</x:v>
      </x:c>
      <x:c r="C12" s="1" t="str">
        <x:v>Acute glucose AUC/iAUC and timed glucose/CGM outcomes</x:v>
      </x:c>
      <x:c r="D12" s="1" t="n">
        <x:v>4</x:v>
      </x:c>
      <x:c r="E12" s="1" t="str">
        <x:v>Blinding of healthcare providers</x:v>
      </x:c>
      <x:c r="F12" s="1" t="str">
        <x:v>Definitely No</x:v>
      </x:c>
      <x:c r="G12" s="1" t="str">
        <x:v>Probably Low</x:v>
      </x:c>
      <x:c r="H12" s="1" t="str">
        <x:v>Health professionals were explicitly unblinded, but meal delivery and sampling were standardized.</x:v>
      </x:c>
      <x:c r="I12" s="1" t="str">
        <x:v>PDF pp4–8; Randomization/Blinding</x:v>
      </x:c>
    </x:row>
    <x:row r="13" ht="34" customHeight="1">
      <x:c r="A13" s="1" t="str">
        <x:v>Bo_2015</x:v>
      </x:c>
      <x:c r="B13" s="1" t="str">
        <x:v>Bo_2015_primary</x:v>
      </x:c>
      <x:c r="C13" s="1" t="str">
        <x:v>Acute glucose AUC/iAUC and timed glucose/CGM outcomes</x:v>
      </x:c>
      <x:c r="D13" s="1" t="n">
        <x:v>5</x:v>
      </x:c>
      <x:c r="E13" s="1" t="str">
        <x:v>Blinding of outcome assessors</x:v>
      </x:c>
      <x:c r="F13" s="1" t="str">
        <x:v>Definitely Yes</x:v>
      </x:c>
      <x:c r="G13" s="1" t="str">
        <x:v>Definitely Low</x:v>
      </x:c>
      <x:c r="H13" s="1" t="str">
        <x:v>Laboratory personnel performing biochemical analyses were blinded to group assignment.</x:v>
      </x:c>
      <x:c r="I13" s="1" t="str">
        <x:v>PDF pp4–8; Randomization/Blinding</x:v>
      </x:c>
    </x:row>
    <x:row r="14" ht="34" customHeight="1">
      <x:c r="A14" s="1" t="str">
        <x:v>Bo_2015</x:v>
      </x:c>
      <x:c r="B14" s="1" t="str">
        <x:v>Bo_2015_primary</x:v>
      </x:c>
      <x:c r="C14" s="1" t="str">
        <x:v>Acute glucose AUC/iAUC and timed glucose/CGM outcomes</x:v>
      </x:c>
      <x:c r="D14" s="1" t="n">
        <x:v>6</x:v>
      </x:c>
      <x:c r="E14" s="1" t="str">
        <x:v>Outcome data not included in analysis</x:v>
      </x:c>
      <x:c r="F14" s="1" t="str">
        <x:v>0/20</x:v>
      </x:c>
      <x:c r="G14" s="1" t="str">
        <x:v>Definitely Low</x:v>
      </x:c>
      <x:c r="H14" s="1" t="str">
        <x:v>All 20 randomized participants completed the crossover and were analyzed.</x:v>
      </x:c>
      <x:c r="I14" s="1" t="str">
        <x:v>PDF pp4–8; Randomization/Blinding</x:v>
      </x:c>
    </x:row>
    <x:row r="15" ht="34" customHeight="1">
      <x:c r="A15" s="1" t="str">
        <x:v>Bo_2015</x:v>
      </x:c>
      <x:c r="B15" s="1" t="str">
        <x:v>Bo_2015_primary</x:v>
      </x:c>
      <x:c r="C15" s="1" t="str">
        <x:v>Acute glucose AUC/iAUC and timed glucose/CGM outcomes</x:v>
      </x:c>
      <x:c r="D15" s="1" t="n">
        <x:v>7</x:v>
      </x:c>
      <x:c r="E15" s="1" t="str">
        <x:v>Selective reporting (optional)</x:v>
      </x:c>
      <x:c r="F15" s="1" t="str">
        <x:v>Review-specific optional item</x:v>
      </x:c>
      <x:c r="G15" s="1" t="str">
        <x:v>Probably Low</x:v>
      </x:c>
      <x:c r="H15" s="1" t="str">
        <x:v>Glucose was a stated secondary outcome and the adjusted contrast was reported; no clear selective-result discrepancy identified.</x:v>
      </x:c>
      <x:c r="I15" s="1" t="str">
        <x:v>PDF pp4–8; Randomization/Blinding</x:v>
      </x:c>
    </x:row>
    <x:row r="16" ht="34" customHeight="1">
      <x:c r="A16" s="1" t="str">
        <x:v>Bravo_Garcia_2024</x:v>
      </x:c>
      <x:c r="B16" s="1" t="str">
        <x:v>Bravo_Garcia_2024_primary</x:v>
      </x:c>
      <x:c r="C16" s="1" t="str">
        <x:v>Acute glucose AUC/iAUC and timed glucose/CGM outcomes</x:v>
      </x:c>
      <x:c r="D16" s="1" t="n">
        <x:v>1</x:v>
      </x:c>
      <x:c r="E16" s="1" t="str">
        <x:v>Random sequence generation</x:v>
      </x:c>
      <x:c r="F16" s="1" t="str">
        <x:v>Probably Yes</x:v>
      </x:c>
      <x:c r="G16" s="1" t="str">
        <x:v>Probably Low</x:v>
      </x:c>
      <x:c r="H16" s="1" t="str">
        <x:v>REDCap blocked randomization (block size 6) was reported.</x:v>
      </x:c>
      <x:c r="I16" s="1" t="str">
        <x:v>PDF pp2–4; ACTRN12622001177741</x:v>
      </x:c>
    </x:row>
    <x:row r="17" ht="34" customHeight="1">
      <x:c r="A17" s="1" t="str">
        <x:v>Bravo_Garcia_2024</x:v>
      </x:c>
      <x:c r="B17" s="1" t="str">
        <x:v>Bravo_Garcia_2024_primary</x:v>
      </x:c>
      <x:c r="C17" s="1" t="str">
        <x:v>Acute glucose AUC/iAUC and timed glucose/CGM outcomes</x:v>
      </x:c>
      <x:c r="D17" s="1" t="n">
        <x:v>2</x:v>
      </x:c>
      <x:c r="E17" s="1" t="str">
        <x:v>Allocation concealment</x:v>
      </x:c>
      <x:c r="F17" s="1" t="str">
        <x:v>Definitely Yes</x:v>
      </x:c>
      <x:c r="G17" s="1" t="str">
        <x:v>Definitely Low</x:v>
      </x:c>
      <x:c r="H17" s="1" t="str">
        <x:v>Randomization was implemented through the web-based REDCap randomization module.</x:v>
      </x:c>
      <x:c r="I17" s="1" t="str">
        <x:v>PDF pp2–4; ACTRN12622001177741</x:v>
      </x:c>
    </x:row>
    <x:row r="18" ht="34" customHeight="1">
      <x:c r="A18" s="1" t="str">
        <x:v>Bravo_Garcia_2024</x:v>
      </x:c>
      <x:c r="B18" s="1" t="str">
        <x:v>Bravo_Garcia_2024_primary</x:v>
      </x:c>
      <x:c r="C18" s="1" t="str">
        <x:v>Acute glucose AUC/iAUC and timed glucose/CGM outcomes</x:v>
      </x:c>
      <x:c r="D18" s="1" t="n">
        <x:v>3</x:v>
      </x:c>
      <x:c r="E18" s="1" t="str">
        <x:v>Blinding of participants</x:v>
      </x:c>
      <x:c r="F18" s="1" t="str">
        <x:v>Definitely No</x:v>
      </x:c>
      <x:c r="G18" s="1" t="str">
        <x:v>Probably High</x:v>
      </x:c>
      <x:c r="H18" s="1" t="str">
        <x:v>Participants were explicitly unblinded in a free-living trial; adherence behaviors directly determined inclusion and could affect CGM glucose.</x:v>
      </x:c>
      <x:c r="I18" s="1" t="str">
        <x:v>PDF pp2–4; ACTRN12622001177741</x:v>
      </x:c>
    </x:row>
    <x:row r="19" ht="34" customHeight="1">
      <x:c r="A19" s="1" t="str">
        <x:v>Bravo_Garcia_2024</x:v>
      </x:c>
      <x:c r="B19" s="1" t="str">
        <x:v>Bravo_Garcia_2024_primary</x:v>
      </x:c>
      <x:c r="C19" s="1" t="str">
        <x:v>Acute glucose AUC/iAUC and timed glucose/CGM outcomes</x:v>
      </x:c>
      <x:c r="D19" s="1" t="n">
        <x:v>4</x:v>
      </x:c>
      <x:c r="E19" s="1" t="str">
        <x:v>Blinding of healthcare providers</x:v>
      </x:c>
      <x:c r="F19" s="1" t="str">
        <x:v>Definitely No</x:v>
      </x:c>
      <x:c r="G19" s="1" t="str">
        <x:v>Probably Low</x:v>
      </x:c>
      <x:c r="H19" s="1" t="str">
        <x:v>Study staff were explicitly unblinded, but prescriptions, monitors, and mixed-model analysis were standardized.</x:v>
      </x:c>
      <x:c r="I19" s="1" t="str">
        <x:v>PDF pp2–4; ACTRN12622001177741</x:v>
      </x:c>
    </x:row>
    <x:row r="20" ht="34" customHeight="1">
      <x:c r="A20" s="1" t="str">
        <x:v>Bravo_Garcia_2024</x:v>
      </x:c>
      <x:c r="B20" s="1" t="str">
        <x:v>Bravo_Garcia_2024_primary</x:v>
      </x:c>
      <x:c r="C20" s="1" t="str">
        <x:v>Acute glucose AUC/iAUC and timed glucose/CGM outcomes</x:v>
      </x:c>
      <x:c r="D20" s="1" t="n">
        <x:v>5</x:v>
      </x:c>
      <x:c r="E20" s="1" t="str">
        <x:v>Blinding of outcome assessors</x:v>
      </x:c>
      <x:c r="F20" s="1" t="str">
        <x:v>Probably No</x:v>
      </x:c>
      <x:c r="G20" s="1" t="str">
        <x:v>Probably Low</x:v>
      </x:c>
      <x:c r="H20" s="1" t="str">
        <x:v>Assessor blinding was not reported; CGM-derived iAUC involves minimal assessor judgment.</x:v>
      </x:c>
      <x:c r="I20" s="1" t="str">
        <x:v>PDF pp2–4; ACTRN12622001177741</x:v>
      </x:c>
    </x:row>
    <x:row r="21" ht="34" customHeight="1">
      <x:c r="A21" s="1" t="str">
        <x:v>Bravo_Garcia_2024</x:v>
      </x:c>
      <x:c r="B21" s="1" t="str">
        <x:v>Bravo_Garcia_2024_primary</x:v>
      </x:c>
      <x:c r="C21" s="1" t="str">
        <x:v>Acute glucose AUC/iAUC and timed glucose/CGM outcomes</x:v>
      </x:c>
      <x:c r="D21" s="1" t="n">
        <x:v>6</x:v>
      </x:c>
      <x:c r="E21" s="1" t="str">
        <x:v>Outcome data not included in analysis</x:v>
      </x:c>
      <x:c r="F21" s="1" t="str">
        <x:v>3/14</x:v>
      </x:c>
      <x:c r="G21" s="1" t="str">
        <x:v>Definitely High</x:v>
      </x:c>
      <x:c r="H21" s="1" t="str">
        <x:v>One withdrew after the first condition and two were excluded from the primary analysis; 11/14 were analyzed (21.4% not analyzed).</x:v>
      </x:c>
      <x:c r="I21" s="1" t="str">
        <x:v>PDF pp2–4; ACTRN12622001177741</x:v>
      </x:c>
    </x:row>
    <x:row r="22" ht="34" customHeight="1">
      <x:c r="A22" s="1" t="str">
        <x:v>Bravo_Garcia_2024</x:v>
      </x:c>
      <x:c r="B22" s="1" t="str">
        <x:v>Bravo_Garcia_2024_primary</x:v>
      </x:c>
      <x:c r="C22" s="1" t="str">
        <x:v>Acute glucose AUC/iAUC and timed glucose/CGM outcomes</x:v>
      </x:c>
      <x:c r="D22" s="1" t="n">
        <x:v>7</x:v>
      </x:c>
      <x:c r="E22" s="1" t="str">
        <x:v>Selective reporting (optional)</x:v>
      </x:c>
      <x:c r="F22" s="1" t="str">
        <x:v>Review-specific optional item</x:v>
      </x:c>
      <x:c r="G22" s="1" t="str">
        <x:v>Definitely Low</x:v>
      </x:c>
      <x:c r="H22" s="1" t="str">
        <x:v>Prospectively registered; 2-h post-breakfast iAUC was explicitly prespecified as the primary outcome and reported.</x:v>
      </x:c>
      <x:c r="I22" s="1" t="str">
        <x:v>PDF pp2–4; ACTRN12622001177741</x:v>
      </x:c>
    </x:row>
    <x:row r="23" ht="34" customHeight="1">
      <x:c r="A23" s="1" t="str">
        <x:v>Enomoto_2026</x:v>
      </x:c>
      <x:c r="B23" s="1" t="str">
        <x:v>Enomoto_2026_primary</x:v>
      </x:c>
      <x:c r="C23" s="1" t="str">
        <x:v>Acute glucose AUC/iAUC and timed glucose/CGM outcomes</x:v>
      </x:c>
      <x:c r="D23" s="1" t="n">
        <x:v>1</x:v>
      </x:c>
      <x:c r="E23" s="1" t="str">
        <x:v>Random sequence generation</x:v>
      </x:c>
      <x:c r="F23" s="1" t="str">
        <x:v>Probably No</x:v>
      </x:c>
      <x:c r="G23" s="1" t="str">
        <x:v>Probably High</x:v>
      </x:c>
      <x:c r="H23" s="1" t="str">
        <x:v>Two sequences were randomized and counterbalanced, but the sequence-generation method was not reported.</x:v>
      </x:c>
      <x:c r="I23" s="1" t="str">
        <x:v>PDF pp3–6; Methods/Tables 2–3</x:v>
      </x:c>
    </x:row>
    <x:row r="24" ht="34" customHeight="1">
      <x:c r="A24" s="1" t="str">
        <x:v>Enomoto_2026</x:v>
      </x:c>
      <x:c r="B24" s="1" t="str">
        <x:v>Enomoto_2026_primary</x:v>
      </x:c>
      <x:c r="C24" s="1" t="str">
        <x:v>Acute glucose AUC/iAUC and timed glucose/CGM outcomes</x:v>
      </x:c>
      <x:c r="D24" s="1" t="n">
        <x:v>2</x:v>
      </x:c>
      <x:c r="E24" s="1" t="str">
        <x:v>Allocation concealment</x:v>
      </x:c>
      <x:c r="F24" s="1" t="str">
        <x:v>Probably No</x:v>
      </x:c>
      <x:c r="G24" s="1" t="str">
        <x:v>Probably High</x:v>
      </x:c>
      <x:c r="H24" s="1" t="str">
        <x:v>No allocation-concealment procedure was reported.</x:v>
      </x:c>
      <x:c r="I24" s="1" t="str">
        <x:v>PDF pp3–6; Methods/Tables 2–3</x:v>
      </x:c>
    </x:row>
    <x:row r="25" ht="34" customHeight="1">
      <x:c r="A25" s="1" t="str">
        <x:v>Enomoto_2026</x:v>
      </x:c>
      <x:c r="B25" s="1" t="str">
        <x:v>Enomoto_2026_primary</x:v>
      </x:c>
      <x:c r="C25" s="1" t="str">
        <x:v>Acute glucose AUC/iAUC and timed glucose/CGM outcomes</x:v>
      </x:c>
      <x:c r="D25" s="1" t="n">
        <x:v>3</x:v>
      </x:c>
      <x:c r="E25" s="1" t="str">
        <x:v>Blinding of participants</x:v>
      </x:c>
      <x:c r="F25" s="1" t="str">
        <x:v>Probably No</x:v>
      </x:c>
      <x:c r="G25" s="1" t="str">
        <x:v>Probably High</x:v>
      </x:c>
      <x:c r="H25" s="1" t="str">
        <x:v>Participants knew dinner timing during home-based intervention days; differential daily behavior remains plausible despite dietary/activity restrictions.</x:v>
      </x:c>
      <x:c r="I25" s="1" t="str">
        <x:v>PDF pp3–6; Methods/Tables 2–3</x:v>
      </x:c>
    </x:row>
    <x:row r="26" ht="34" customHeight="1">
      <x:c r="A26" s="1" t="str">
        <x:v>Enomoto_2026</x:v>
      </x:c>
      <x:c r="B26" s="1" t="str">
        <x:v>Enomoto_2026_primary</x:v>
      </x:c>
      <x:c r="C26" s="1" t="str">
        <x:v>Acute glucose AUC/iAUC and timed glucose/CGM outcomes</x:v>
      </x:c>
      <x:c r="D26" s="1" t="n">
        <x:v>4</x:v>
      </x:c>
      <x:c r="E26" s="1" t="str">
        <x:v>Blinding of healthcare providers</x:v>
      </x:c>
      <x:c r="F26" s="1" t="str">
        <x:v>Probably No</x:v>
      </x:c>
      <x:c r="G26" s="1" t="str">
        <x:v>Probably Low</x:v>
      </x:c>
      <x:c r="H26" s="1" t="str">
        <x:v>Intervention support was unblinded or not described as blinded; standardized dinner and instructions limit provider-driven differences.</x:v>
      </x:c>
      <x:c r="I26" s="1" t="str">
        <x:v>PDF pp3–6; Methods/Tables 2–3</x:v>
      </x:c>
    </x:row>
    <x:row r="27" ht="34" customHeight="1">
      <x:c r="A27" s="1" t="str">
        <x:v>Enomoto_2026</x:v>
      </x:c>
      <x:c r="B27" s="1" t="str">
        <x:v>Enomoto_2026_primary</x:v>
      </x:c>
      <x:c r="C27" s="1" t="str">
        <x:v>Acute glucose AUC/iAUC and timed glucose/CGM outcomes</x:v>
      </x:c>
      <x:c r="D27" s="1" t="n">
        <x:v>5</x:v>
      </x:c>
      <x:c r="E27" s="1" t="str">
        <x:v>Blinding of outcome assessors</x:v>
      </x:c>
      <x:c r="F27" s="1" t="str">
        <x:v>Probably No</x:v>
      </x:c>
      <x:c r="G27" s="1" t="str">
        <x:v>Probably Low</x:v>
      </x:c>
      <x:c r="H27" s="1" t="str">
        <x:v>Assessor blinding was not reported; CGM and laboratory outcomes involve minimal judgment.</x:v>
      </x:c>
      <x:c r="I27" s="1" t="str">
        <x:v>PDF pp3–6; Methods/Tables 2–3</x:v>
      </x:c>
    </x:row>
    <x:row r="28" ht="34" customHeight="1">
      <x:c r="A28" s="1" t="str">
        <x:v>Enomoto_2026</x:v>
      </x:c>
      <x:c r="B28" s="1" t="str">
        <x:v>Enomoto_2026_primary</x:v>
      </x:c>
      <x:c r="C28" s="1" t="str">
        <x:v>Acute glucose AUC/iAUC and timed glucose/CGM outcomes</x:v>
      </x:c>
      <x:c r="D28" s="1" t="n">
        <x:v>6</x:v>
      </x:c>
      <x:c r="E28" s="1" t="str">
        <x:v>Outcome data not included in analysis</x:v>
      </x:c>
      <x:c r="F28" s="1" t="str">
        <x:v>0/13</x:v>
      </x:c>
      <x:c r="G28" s="1" t="str">
        <x:v>Definitely Low</x:v>
      </x:c>
      <x:c r="H28" s="1" t="str">
        <x:v>All 13 participants completed both conditions and the entire protocol.</x:v>
      </x:c>
      <x:c r="I28" s="1" t="str">
        <x:v>PDF pp3–6; Methods/Tables 2–3</x:v>
      </x:c>
    </x:row>
    <x:row r="29" ht="34" customHeight="1">
      <x:c r="A29" s="1" t="str">
        <x:v>Enomoto_2026</x:v>
      </x:c>
      <x:c r="B29" s="1" t="str">
        <x:v>Enomoto_2026_primary</x:v>
      </x:c>
      <x:c r="C29" s="1" t="str">
        <x:v>Acute glucose AUC/iAUC and timed glucose/CGM outcomes</x:v>
      </x:c>
      <x:c r="D29" s="1" t="n">
        <x:v>7</x:v>
      </x:c>
      <x:c r="E29" s="1" t="str">
        <x:v>Selective reporting (optional)</x:v>
      </x:c>
      <x:c r="F29" s="1" t="str">
        <x:v>Review-specific optional item</x:v>
      </x:c>
      <x:c r="G29" s="1" t="str">
        <x:v>Probably Low</x:v>
      </x:c>
      <x:c r="H29" s="1" t="str">
        <x:v>All intervention days were tabulated; the day-specific estimand still requires prespecification, but no evidence of outcome selection based on results was found.</x:v>
      </x:c>
      <x:c r="I29" s="1" t="str">
        <x:v>PDF pp3–6; Methods/Tables 2–3</x:v>
      </x:c>
    </x:row>
    <x:row r="30" ht="34" customHeight="1">
      <x:c r="A30" s="1" t="str">
        <x:v>Garaulet_2022</x:v>
      </x:c>
      <x:c r="B30" s="1" t="str">
        <x:v>Garaulet_2022_primary</x:v>
      </x:c>
      <x:c r="C30" s="1" t="str">
        <x:v>Acute glucose AUC/iAUC and timed glucose/CGM outcomes</x:v>
      </x:c>
      <x:c r="D30" s="1" t="n">
        <x:v>1</x:v>
      </x:c>
      <x:c r="E30" s="1" t="str">
        <x:v>Random sequence generation</x:v>
      </x:c>
      <x:c r="F30" s="1" t="str">
        <x:v>Probably No</x:v>
      </x:c>
      <x:c r="G30" s="1" t="str">
        <x:v>Probably High</x:v>
      </x:c>
      <x:c r="H30" s="1" t="str">
        <x:v>OGTT order was randomized, but the sequence-generation method was not described.</x:v>
      </x:c>
      <x:c r="I30" s="1" t="str">
        <x:v>PDF pp2–5; Methods/Figure 1</x:v>
      </x:c>
    </x:row>
    <x:row r="31" ht="34" customHeight="1">
      <x:c r="A31" s="1" t="str">
        <x:v>Garaulet_2022</x:v>
      </x:c>
      <x:c r="B31" s="1" t="str">
        <x:v>Garaulet_2022_primary</x:v>
      </x:c>
      <x:c r="C31" s="1" t="str">
        <x:v>Acute glucose AUC/iAUC and timed glucose/CGM outcomes</x:v>
      </x:c>
      <x:c r="D31" s="1" t="n">
        <x:v>2</x:v>
      </x:c>
      <x:c r="E31" s="1" t="str">
        <x:v>Allocation concealment</x:v>
      </x:c>
      <x:c r="F31" s="1" t="str">
        <x:v>Probably No</x:v>
      </x:c>
      <x:c r="G31" s="1" t="str">
        <x:v>Probably High</x:v>
      </x:c>
      <x:c r="H31" s="1" t="str">
        <x:v>No allocation-concealment procedure was reported.</x:v>
      </x:c>
      <x:c r="I31" s="1" t="str">
        <x:v>PDF pp2–5; Methods/Figure 1</x:v>
      </x:c>
    </x:row>
    <x:row r="32" ht="34" customHeight="1">
      <x:c r="A32" s="1" t="str">
        <x:v>Garaulet_2022</x:v>
      </x:c>
      <x:c r="B32" s="1" t="str">
        <x:v>Garaulet_2022_primary</x:v>
      </x:c>
      <x:c r="C32" s="1" t="str">
        <x:v>Acute glucose AUC/iAUC and timed glucose/CGM outcomes</x:v>
      </x:c>
      <x:c r="D32" s="1" t="n">
        <x:v>3</x:v>
      </x:c>
      <x:c r="E32" s="1" t="str">
        <x:v>Blinding of participants</x:v>
      </x:c>
      <x:c r="F32" s="1" t="str">
        <x:v>Probably No</x:v>
      </x:c>
      <x:c r="G32" s="1" t="str">
        <x:v>Probably Low</x:v>
      </x:c>
      <x:c r="H32" s="1" t="str">
        <x:v>Participants could distinguish timing, but the OGTT and visit procedures were standardized and the laboratory outcome is objective.</x:v>
      </x:c>
      <x:c r="I32" s="1" t="str">
        <x:v>PDF pp2–5; Methods/Figure 1</x:v>
      </x:c>
    </x:row>
    <x:row r="33" ht="34" customHeight="1">
      <x:c r="A33" s="1" t="str">
        <x:v>Garaulet_2022</x:v>
      </x:c>
      <x:c r="B33" s="1" t="str">
        <x:v>Garaulet_2022_primary</x:v>
      </x:c>
      <x:c r="C33" s="1" t="str">
        <x:v>Acute glucose AUC/iAUC and timed glucose/CGM outcomes</x:v>
      </x:c>
      <x:c r="D33" s="1" t="n">
        <x:v>4</x:v>
      </x:c>
      <x:c r="E33" s="1" t="str">
        <x:v>Blinding of healthcare providers</x:v>
      </x:c>
      <x:c r="F33" s="1" t="str">
        <x:v>Probably No</x:v>
      </x:c>
      <x:c r="G33" s="1" t="str">
        <x:v>Probably Low</x:v>
      </x:c>
      <x:c r="H33" s="1" t="str">
        <x:v>Staff likely knew visit timing; standardized OGTT delivery limits differential cointervention.</x:v>
      </x:c>
      <x:c r="I33" s="1" t="str">
        <x:v>PDF pp2–5; Methods/Figure 1</x:v>
      </x:c>
    </x:row>
    <x:row r="34" ht="34" customHeight="1">
      <x:c r="A34" s="1" t="str">
        <x:v>Garaulet_2022</x:v>
      </x:c>
      <x:c r="B34" s="1" t="str">
        <x:v>Garaulet_2022_primary</x:v>
      </x:c>
      <x:c r="C34" s="1" t="str">
        <x:v>Acute glucose AUC/iAUC and timed glucose/CGM outcomes</x:v>
      </x:c>
      <x:c r="D34" s="1" t="n">
        <x:v>5</x:v>
      </x:c>
      <x:c r="E34" s="1" t="str">
        <x:v>Blinding of outcome assessors</x:v>
      </x:c>
      <x:c r="F34" s="1" t="str">
        <x:v>Probably No</x:v>
      </x:c>
      <x:c r="G34" s="1" t="str">
        <x:v>Probably Low</x:v>
      </x:c>
      <x:c r="H34" s="1" t="str">
        <x:v>Assessor blinding was not reported; glucose assays involve minimal judgment.</x:v>
      </x:c>
      <x:c r="I34" s="1" t="str">
        <x:v>PDF pp2–5; Methods/Figure 1</x:v>
      </x:c>
    </x:row>
    <x:row r="35" ht="34" customHeight="1">
      <x:c r="A35" s="1" t="str">
        <x:v>Garaulet_2022</x:v>
      </x:c>
      <x:c r="B35" s="1" t="str">
        <x:v>Garaulet_2022_primary</x:v>
      </x:c>
      <x:c r="C35" s="1" t="str">
        <x:v>Acute glucose AUC/iAUC and timed glucose/CGM outcomes</x:v>
      </x:c>
      <x:c r="D35" s="1" t="n">
        <x:v>6</x:v>
      </x:c>
      <x:c r="E35" s="1" t="str">
        <x:v>Outcome data not included in analysis</x:v>
      </x:c>
      <x:c r="F35" s="1" t="str">
        <x:v>0/845</x:v>
      </x:c>
      <x:c r="G35" s="1" t="str">
        <x:v>Definitely Low</x:v>
      </x:c>
      <x:c r="H35" s="1" t="str">
        <x:v>The report analyzes all 845 participants included in the randomized crossover sample.</x:v>
      </x:c>
      <x:c r="I35" s="1" t="str">
        <x:v>PDF pp2–5; Methods/Figure 1</x:v>
      </x:c>
    </x:row>
    <x:row r="36" ht="34" customHeight="1">
      <x:c r="A36" s="1" t="str">
        <x:v>Garaulet_2022</x:v>
      </x:c>
      <x:c r="B36" s="1" t="str">
        <x:v>Garaulet_2022_primary</x:v>
      </x:c>
      <x:c r="C36" s="1" t="str">
        <x:v>Acute glucose AUC/iAUC and timed glucose/CGM outcomes</x:v>
      </x:c>
      <x:c r="D36" s="1" t="n">
        <x:v>7</x:v>
      </x:c>
      <x:c r="E36" s="1" t="str">
        <x:v>Selective reporting (optional)</x:v>
      </x:c>
      <x:c r="F36" s="1" t="str">
        <x:v>Review-specific optional item</x:v>
      </x:c>
      <x:c r="G36" s="1" t="str">
        <x:v>Probably Low</x:v>
      </x:c>
      <x:c r="H36" s="1" t="str">
        <x:v>Primary glycemic outcomes and genotype interaction analyses were reported; no documented reporting discrepancy was identified.</x:v>
      </x:c>
      <x:c r="I36" s="1" t="str">
        <x:v>PDF pp2–5; Methods/Figure 1</x:v>
      </x:c>
    </x:row>
    <x:row r="37" ht="34" customHeight="1">
      <x:c r="A37" s="1" t="str">
        <x:v>Gibbs_2014</x:v>
      </x:c>
      <x:c r="B37" s="1" t="str">
        <x:v>Gibbs_2014_primary</x:v>
      </x:c>
      <x:c r="C37" s="1" t="str">
        <x:v>Acute glucose AUC/iAUC and timed glucose/CGM outcomes</x:v>
      </x:c>
      <x:c r="D37" s="1" t="n">
        <x:v>1</x:v>
      </x:c>
      <x:c r="E37" s="1" t="str">
        <x:v>Random sequence generation</x:v>
      </x:c>
      <x:c r="F37" s="1" t="str">
        <x:v>Probably No</x:v>
      </x:c>
      <x:c r="G37" s="1" t="str">
        <x:v>Probably High</x:v>
      </x:c>
      <x:c r="H37" s="1" t="str">
        <x:v>Meal time and order were randomly assigned, but the sequence-generation method was not reported.</x:v>
      </x:c>
      <x:c r="I37" s="1" t="str">
        <x:v>PDF pp2–5; Methods/Results/Table 2</x:v>
      </x:c>
    </x:row>
    <x:row r="38" ht="34" customHeight="1">
      <x:c r="A38" s="1" t="str">
        <x:v>Gibbs_2014</x:v>
      </x:c>
      <x:c r="B38" s="1" t="str">
        <x:v>Gibbs_2014_primary</x:v>
      </x:c>
      <x:c r="C38" s="1" t="str">
        <x:v>Acute glucose AUC/iAUC and timed glucose/CGM outcomes</x:v>
      </x:c>
      <x:c r="D38" s="1" t="n">
        <x:v>2</x:v>
      </x:c>
      <x:c r="E38" s="1" t="str">
        <x:v>Allocation concealment</x:v>
      </x:c>
      <x:c r="F38" s="1" t="str">
        <x:v>Probably No</x:v>
      </x:c>
      <x:c r="G38" s="1" t="str">
        <x:v>Probably High</x:v>
      </x:c>
      <x:c r="H38" s="1" t="str">
        <x:v>No allocation-concealment procedure was reported.</x:v>
      </x:c>
      <x:c r="I38" s="1" t="str">
        <x:v>PDF pp2–5; Methods/Results/Table 2</x:v>
      </x:c>
    </x:row>
    <x:row r="39" ht="34" customHeight="1">
      <x:c r="A39" s="1" t="str">
        <x:v>Gibbs_2014</x:v>
      </x:c>
      <x:c r="B39" s="1" t="str">
        <x:v>Gibbs_2014_primary</x:v>
      </x:c>
      <x:c r="C39" s="1" t="str">
        <x:v>Acute glucose AUC/iAUC and timed glucose/CGM outcomes</x:v>
      </x:c>
      <x:c r="D39" s="1" t="n">
        <x:v>3</x:v>
      </x:c>
      <x:c r="E39" s="1" t="str">
        <x:v>Blinding of participants</x:v>
      </x:c>
      <x:c r="F39" s="1" t="str">
        <x:v>Probably No</x:v>
      </x:c>
      <x:c r="G39" s="1" t="str">
        <x:v>Probably Low</x:v>
      </x:c>
      <x:c r="H39" s="1" t="str">
        <x:v>Timing/GI conditions were visible; participants followed standardized pre-visit meals and study-day restrictions.</x:v>
      </x:c>
      <x:c r="I39" s="1" t="str">
        <x:v>PDF pp2–5; Methods/Results/Table 2</x:v>
      </x:c>
    </x:row>
    <x:row r="40" ht="34" customHeight="1">
      <x:c r="A40" s="1" t="str">
        <x:v>Gibbs_2014</x:v>
      </x:c>
      <x:c r="B40" s="1" t="str">
        <x:v>Gibbs_2014_primary</x:v>
      </x:c>
      <x:c r="C40" s="1" t="str">
        <x:v>Acute glucose AUC/iAUC and timed glucose/CGM outcomes</x:v>
      </x:c>
      <x:c r="D40" s="1" t="n">
        <x:v>4</x:v>
      </x:c>
      <x:c r="E40" s="1" t="str">
        <x:v>Blinding of healthcare providers</x:v>
      </x:c>
      <x:c r="F40" s="1" t="str">
        <x:v>Probably No</x:v>
      </x:c>
      <x:c r="G40" s="1" t="str">
        <x:v>Probably Low</x:v>
      </x:c>
      <x:c r="H40" s="1" t="str">
        <x:v>Staff blinding was not reported; meal delivery and capillary sampling were protocolized.</x:v>
      </x:c>
      <x:c r="I40" s="1" t="str">
        <x:v>PDF pp2–5; Methods/Results/Table 2</x:v>
      </x:c>
    </x:row>
    <x:row r="41" ht="34" customHeight="1">
      <x:c r="A41" s="1" t="str">
        <x:v>Gibbs_2014</x:v>
      </x:c>
      <x:c r="B41" s="1" t="str">
        <x:v>Gibbs_2014_primary</x:v>
      </x:c>
      <x:c r="C41" s="1" t="str">
        <x:v>Acute glucose AUC/iAUC and timed glucose/CGM outcomes</x:v>
      </x:c>
      <x:c r="D41" s="1" t="n">
        <x:v>5</x:v>
      </x:c>
      <x:c r="E41" s="1" t="str">
        <x:v>Blinding of outcome assessors</x:v>
      </x:c>
      <x:c r="F41" s="1" t="str">
        <x:v>Probably No</x:v>
      </x:c>
      <x:c r="G41" s="1" t="str">
        <x:v>Probably Low</x:v>
      </x:c>
      <x:c r="H41" s="1" t="str">
        <x:v>Assessor blinding was not reported; glucose measurement was instrumental with minimal judgment.</x:v>
      </x:c>
      <x:c r="I41" s="1" t="str">
        <x:v>PDF pp2–5; Methods/Results/Table 2</x:v>
      </x:c>
    </x:row>
    <x:row r="42" ht="34" customHeight="1">
      <x:c r="A42" s="1" t="str">
        <x:v>Gibbs_2014</x:v>
      </x:c>
      <x:c r="B42" s="1" t="str">
        <x:v>Gibbs_2014_primary</x:v>
      </x:c>
      <x:c r="C42" s="1" t="str">
        <x:v>Acute glucose AUC/iAUC and timed glucose/CGM outcomes</x:v>
      </x:c>
      <x:c r="D42" s="1" t="n">
        <x:v>6</x:v>
      </x:c>
      <x:c r="E42" s="1" t="str">
        <x:v>Outcome data not included in analysis</x:v>
      </x:c>
      <x:c r="F42" s="1" t="str">
        <x:v>0/10</x:v>
      </x:c>
      <x:c r="G42" s="1" t="str">
        <x:v>Definitely Low</x:v>
      </x:c>
      <x:c r="H42" s="1" t="str">
        <x:v>All 10 participants were included in the glucose analysis; approximately 8% of individual time-point values were missing and handled in repeated-measures analysis.</x:v>
      </x:c>
      <x:c r="I42" s="1" t="str">
        <x:v>PDF pp2–5; Methods/Results/Table 2</x:v>
      </x:c>
    </x:row>
    <x:row r="43" ht="34" customHeight="1">
      <x:c r="A43" s="1" t="str">
        <x:v>Gibbs_2014</x:v>
      </x:c>
      <x:c r="B43" s="1" t="str">
        <x:v>Gibbs_2014_primary</x:v>
      </x:c>
      <x:c r="C43" s="1" t="str">
        <x:v>Acute glucose AUC/iAUC and timed glucose/CGM outcomes</x:v>
      </x:c>
      <x:c r="D43" s="1" t="n">
        <x:v>7</x:v>
      </x:c>
      <x:c r="E43" s="1" t="str">
        <x:v>Selective reporting (optional)</x:v>
      </x:c>
      <x:c r="F43" s="1" t="str">
        <x:v>Review-specific optional item</x:v>
      </x:c>
      <x:c r="G43" s="1" t="str">
        <x:v>Probably Low</x:v>
      </x:c>
      <x:c r="H43" s="1" t="str">
        <x:v>GI-specific glucose results were reported; no protocol/SAP was available to rule out all analysis-choice flexibility.</x:v>
      </x:c>
      <x:c r="I43" s="1" t="str">
        <x:v>PDF pp2–5; Methods/Results/Table 2</x:v>
      </x:c>
    </x:row>
    <x:row r="44" ht="34" customHeight="1">
      <x:c r="A44" s="1" t="str">
        <x:v>Gu_2020</x:v>
      </x:c>
      <x:c r="B44" s="1" t="str">
        <x:v>Gu_2020_primary</x:v>
      </x:c>
      <x:c r="C44" s="1" t="str">
        <x:v>Acute glucose AUC/iAUC and timed glucose/CGM outcomes</x:v>
      </x:c>
      <x:c r="D44" s="1" t="n">
        <x:v>1</x:v>
      </x:c>
      <x:c r="E44" s="1" t="str">
        <x:v>Random sequence generation</x:v>
      </x:c>
      <x:c r="F44" s="1" t="str">
        <x:v>Probably Yes</x:v>
      </x:c>
      <x:c r="G44" s="1" t="str">
        <x:v>Probably Low</x:v>
      </x:c>
      <x:c r="H44" s="1" t="str">
        <x:v>Random assignment was stratified by sex.</x:v>
      </x:c>
      <x:c r="I44" s="1" t="str">
        <x:v>PDF pp2–6; Methods/Results</x:v>
      </x:c>
    </x:row>
    <x:row r="45" ht="34" customHeight="1">
      <x:c r="A45" s="1" t="str">
        <x:v>Gu_2020</x:v>
      </x:c>
      <x:c r="B45" s="1" t="str">
        <x:v>Gu_2020_primary</x:v>
      </x:c>
      <x:c r="C45" s="1" t="str">
        <x:v>Acute glucose AUC/iAUC and timed glucose/CGM outcomes</x:v>
      </x:c>
      <x:c r="D45" s="1" t="n">
        <x:v>2</x:v>
      </x:c>
      <x:c r="E45" s="1" t="str">
        <x:v>Allocation concealment</x:v>
      </x:c>
      <x:c r="F45" s="1" t="str">
        <x:v>Probably No</x:v>
      </x:c>
      <x:c r="G45" s="1" t="str">
        <x:v>Probably High</x:v>
      </x:c>
      <x:c r="H45" s="1" t="str">
        <x:v>No allocation-concealment procedure was reported.</x:v>
      </x:c>
      <x:c r="I45" s="1" t="str">
        <x:v>PDF pp2–6; Methods/Results</x:v>
      </x:c>
    </x:row>
    <x:row r="46" ht="34" customHeight="1">
      <x:c r="A46" s="1" t="str">
        <x:v>Gu_2020</x:v>
      </x:c>
      <x:c r="B46" s="1" t="str">
        <x:v>Gu_2020_primary</x:v>
      </x:c>
      <x:c r="C46" s="1" t="str">
        <x:v>Acute glucose AUC/iAUC and timed glucose/CGM outcomes</x:v>
      </x:c>
      <x:c r="D46" s="1" t="n">
        <x:v>3</x:v>
      </x:c>
      <x:c r="E46" s="1" t="str">
        <x:v>Blinding of participants</x:v>
      </x:c>
      <x:c r="F46" s="1" t="str">
        <x:v>Probably No</x:v>
      </x:c>
      <x:c r="G46" s="1" t="str">
        <x:v>Probably Low</x:v>
      </x:c>
      <x:c r="H46" s="1" t="str">
        <x:v>Dinner timing was visible, but inpatient activity, sleep, food, and sampling were tightly controlled.</x:v>
      </x:c>
      <x:c r="I46" s="1" t="str">
        <x:v>PDF pp2–6; Methods/Results</x:v>
      </x:c>
    </x:row>
    <x:row r="47" ht="34" customHeight="1">
      <x:c r="A47" s="1" t="str">
        <x:v>Gu_2020</x:v>
      </x:c>
      <x:c r="B47" s="1" t="str">
        <x:v>Gu_2020_primary</x:v>
      </x:c>
      <x:c r="C47" s="1" t="str">
        <x:v>Acute glucose AUC/iAUC and timed glucose/CGM outcomes</x:v>
      </x:c>
      <x:c r="D47" s="1" t="n">
        <x:v>4</x:v>
      </x:c>
      <x:c r="E47" s="1" t="str">
        <x:v>Blinding of healthcare providers</x:v>
      </x:c>
      <x:c r="F47" s="1" t="str">
        <x:v>Probably No</x:v>
      </x:c>
      <x:c r="G47" s="1" t="str">
        <x:v>Probably Low</x:v>
      </x:c>
      <x:c r="H47" s="1" t="str">
        <x:v>Staff likely knew dinner timing; inpatient procedures were standardized.</x:v>
      </x:c>
      <x:c r="I47" s="1" t="str">
        <x:v>PDF pp2–6; Methods/Results</x:v>
      </x:c>
    </x:row>
    <x:row r="48" ht="34" customHeight="1">
      <x:c r="A48" s="1" t="str">
        <x:v>Gu_2020</x:v>
      </x:c>
      <x:c r="B48" s="1" t="str">
        <x:v>Gu_2020_primary</x:v>
      </x:c>
      <x:c r="C48" s="1" t="str">
        <x:v>Acute glucose AUC/iAUC and timed glucose/CGM outcomes</x:v>
      </x:c>
      <x:c r="D48" s="1" t="n">
        <x:v>5</x:v>
      </x:c>
      <x:c r="E48" s="1" t="str">
        <x:v>Blinding of outcome assessors</x:v>
      </x:c>
      <x:c r="F48" s="1" t="str">
        <x:v>Probably No</x:v>
      </x:c>
      <x:c r="G48" s="1" t="str">
        <x:v>Probably Low</x:v>
      </x:c>
      <x:c r="H48" s="1" t="str">
        <x:v>Assessor blinding was not reported; glucose assays involve minimal judgment.</x:v>
      </x:c>
      <x:c r="I48" s="1" t="str">
        <x:v>PDF pp2–6; Methods/Results</x:v>
      </x:c>
    </x:row>
    <x:row r="49" ht="34" customHeight="1">
      <x:c r="A49" s="1" t="str">
        <x:v>Gu_2020</x:v>
      </x:c>
      <x:c r="B49" s="1" t="str">
        <x:v>Gu_2020_primary</x:v>
      </x:c>
      <x:c r="C49" s="1" t="str">
        <x:v>Acute glucose AUC/iAUC and timed glucose/CGM outcomes</x:v>
      </x:c>
      <x:c r="D49" s="1" t="n">
        <x:v>6</x:v>
      </x:c>
      <x:c r="E49" s="1" t="str">
        <x:v>Outcome data not included in analysis</x:v>
      </x:c>
      <x:c r="F49" s="1" t="str">
        <x:v>0/20</x:v>
      </x:c>
      <x:c r="G49" s="1" t="str">
        <x:v>Definitely Low</x:v>
      </x:c>
      <x:c r="H49" s="1" t="str">
        <x:v>All 20 randomized participants completed both admissions and were analyzed.</x:v>
      </x:c>
      <x:c r="I49" s="1" t="str">
        <x:v>PDF pp2–6; Methods/Results</x:v>
      </x:c>
    </x:row>
    <x:row r="50" ht="34" customHeight="1">
      <x:c r="A50" s="1" t="str">
        <x:v>Gu_2020</x:v>
      </x:c>
      <x:c r="B50" s="1" t="str">
        <x:v>Gu_2020_primary</x:v>
      </x:c>
      <x:c r="C50" s="1" t="str">
        <x:v>Acute glucose AUC/iAUC and timed glucose/CGM outcomes</x:v>
      </x:c>
      <x:c r="D50" s="1" t="n">
        <x:v>7</x:v>
      </x:c>
      <x:c r="E50" s="1" t="str">
        <x:v>Selective reporting (optional)</x:v>
      </x:c>
      <x:c r="F50" s="1" t="str">
        <x:v>Review-specific optional item</x:v>
      </x:c>
      <x:c r="G50" s="1" t="str">
        <x:v>Probably Low</x:v>
      </x:c>
      <x:c r="H50" s="1" t="str">
        <x:v>Prespecified metabolic outcomes were broadly reported; no clear selective-result discrepancy identified.</x:v>
      </x:c>
      <x:c r="I50" s="1" t="str">
        <x:v>PDF pp2–6; Methods/Results</x:v>
      </x:c>
    </x:row>
    <x:row r="51" ht="34" customHeight="1">
      <x:c r="A51" s="1" t="str">
        <x:v>Haldar_2020</x:v>
      </x:c>
      <x:c r="B51" s="1" t="str">
        <x:v>Haldar_2020_primary</x:v>
      </x:c>
      <x:c r="C51" s="1" t="str">
        <x:v>Acute glucose AUC/iAUC and timed glucose/CGM outcomes</x:v>
      </x:c>
      <x:c r="D51" s="1" t="n">
        <x:v>1</x:v>
      </x:c>
      <x:c r="E51" s="1" t="str">
        <x:v>Random sequence generation</x:v>
      </x:c>
      <x:c r="F51" s="1" t="str">
        <x:v>Definitely Yes</x:v>
      </x:c>
      <x:c r="G51" s="1" t="str">
        <x:v>Definitely Low</x:v>
      </x:c>
      <x:c r="H51" s="1" t="str">
        <x:v>Sequence randomization was carried out using Medidata Balance.</x:v>
      </x:c>
      <x:c r="I51" s="1" t="str">
        <x:v>PDF pp2–6; CONSORT flow/Table 2</x:v>
      </x:c>
    </x:row>
    <x:row r="52" ht="34" customHeight="1">
      <x:c r="A52" s="1" t="str">
        <x:v>Haldar_2020</x:v>
      </x:c>
      <x:c r="B52" s="1" t="str">
        <x:v>Haldar_2020_primary</x:v>
      </x:c>
      <x:c r="C52" s="1" t="str">
        <x:v>Acute glucose AUC/iAUC and timed glucose/CGM outcomes</x:v>
      </x:c>
      <x:c r="D52" s="1" t="n">
        <x:v>2</x:v>
      </x:c>
      <x:c r="E52" s="1" t="str">
        <x:v>Allocation concealment</x:v>
      </x:c>
      <x:c r="F52" s="1" t="str">
        <x:v>Definitely Yes</x:v>
      </x:c>
      <x:c r="G52" s="1" t="str">
        <x:v>Definitely Low</x:v>
      </x:c>
      <x:c r="H52" s="1" t="str">
        <x:v>Medidata Balance is a centralized web-based allocation system.</x:v>
      </x:c>
      <x:c r="I52" s="1" t="str">
        <x:v>PDF pp2–6; CONSORT flow/Table 2</x:v>
      </x:c>
    </x:row>
    <x:row r="53" ht="34" customHeight="1">
      <x:c r="A53" s="1" t="str">
        <x:v>Haldar_2020</x:v>
      </x:c>
      <x:c r="B53" s="1" t="str">
        <x:v>Haldar_2020_primary</x:v>
      </x:c>
      <x:c r="C53" s="1" t="str">
        <x:v>Acute glucose AUC/iAUC and timed glucose/CGM outcomes</x:v>
      </x:c>
      <x:c r="D53" s="1" t="n">
        <x:v>3</x:v>
      </x:c>
      <x:c r="E53" s="1" t="str">
        <x:v>Blinding of participants</x:v>
      </x:c>
      <x:c r="F53" s="1" t="str">
        <x:v>Probably No</x:v>
      </x:c>
      <x:c r="G53" s="1" t="str">
        <x:v>Probably Low</x:v>
      </x:c>
      <x:c r="H53" s="1" t="str">
        <x:v>Meal time and GI were likely distinguishable; controlled visits and standardized meals limit expectation/cointervention effects.</x:v>
      </x:c>
      <x:c r="I53" s="1" t="str">
        <x:v>PDF pp2–6; CONSORT flow/Table 2</x:v>
      </x:c>
    </x:row>
    <x:row r="54" ht="34" customHeight="1">
      <x:c r="A54" s="1" t="str">
        <x:v>Haldar_2020</x:v>
      </x:c>
      <x:c r="B54" s="1" t="str">
        <x:v>Haldar_2020_primary</x:v>
      </x:c>
      <x:c r="C54" s="1" t="str">
        <x:v>Acute glucose AUC/iAUC and timed glucose/CGM outcomes</x:v>
      </x:c>
      <x:c r="D54" s="1" t="n">
        <x:v>4</x:v>
      </x:c>
      <x:c r="E54" s="1" t="str">
        <x:v>Blinding of healthcare providers</x:v>
      </x:c>
      <x:c r="F54" s="1" t="str">
        <x:v>Probably No</x:v>
      </x:c>
      <x:c r="G54" s="1" t="str">
        <x:v>Probably Low</x:v>
      </x:c>
      <x:c r="H54" s="1" t="str">
        <x:v>Staff blinding was not reported; interventions and sampling were standardized.</x:v>
      </x:c>
      <x:c r="I54" s="1" t="str">
        <x:v>PDF pp2–6; CONSORT flow/Table 2</x:v>
      </x:c>
    </x:row>
    <x:row r="55" ht="34" customHeight="1">
      <x:c r="A55" s="1" t="str">
        <x:v>Haldar_2020</x:v>
      </x:c>
      <x:c r="B55" s="1" t="str">
        <x:v>Haldar_2020_primary</x:v>
      </x:c>
      <x:c r="C55" s="1" t="str">
        <x:v>Acute glucose AUC/iAUC and timed glucose/CGM outcomes</x:v>
      </x:c>
      <x:c r="D55" s="1" t="n">
        <x:v>5</x:v>
      </x:c>
      <x:c r="E55" s="1" t="str">
        <x:v>Blinding of outcome assessors</x:v>
      </x:c>
      <x:c r="F55" s="1" t="str">
        <x:v>Probably No</x:v>
      </x:c>
      <x:c r="G55" s="1" t="str">
        <x:v>Probably Low</x:v>
      </x:c>
      <x:c r="H55" s="1" t="str">
        <x:v>Assessor blinding was not reported; laboratory glucose outcomes involve minimal judgment.</x:v>
      </x:c>
      <x:c r="I55" s="1" t="str">
        <x:v>PDF pp2–6; CONSORT flow/Table 2</x:v>
      </x:c>
    </x:row>
    <x:row r="56" ht="34" customHeight="1">
      <x:c r="A56" s="1" t="str">
        <x:v>Haldar_2020</x:v>
      </x:c>
      <x:c r="B56" s="1" t="str">
        <x:v>Haldar_2020_primary</x:v>
      </x:c>
      <x:c r="C56" s="1" t="str">
        <x:v>Acute glucose AUC/iAUC and timed glucose/CGM outcomes</x:v>
      </x:c>
      <x:c r="D56" s="1" t="n">
        <x:v>6</x:v>
      </x:c>
      <x:c r="E56" s="1" t="str">
        <x:v>Outcome data not included in analysis</x:v>
      </x:c>
      <x:c r="F56" s="1" t="str">
        <x:v>14/48</x:v>
      </x:c>
      <x:c r="G56" s="1" t="str">
        <x:v>Definitely High</x:v>
      </x:c>
      <x:c r="H56" s="1" t="str">
        <x:v>CONSORT flow: 48 randomized, 37 completed, 34 included in per-protocol analysis; 14/48 (29.2%) were not analyzed.</x:v>
      </x:c>
      <x:c r="I56" s="1" t="str">
        <x:v>PDF pp2–6; CONSORT flow/Table 2</x:v>
      </x:c>
    </x:row>
    <x:row r="57" ht="34" customHeight="1">
      <x:c r="A57" s="1" t="str">
        <x:v>Haldar_2020</x:v>
      </x:c>
      <x:c r="B57" s="1" t="str">
        <x:v>Haldar_2020_primary</x:v>
      </x:c>
      <x:c r="C57" s="1" t="str">
        <x:v>Acute glucose AUC/iAUC and timed glucose/CGM outcomes</x:v>
      </x:c>
      <x:c r="D57" s="1" t="n">
        <x:v>7</x:v>
      </x:c>
      <x:c r="E57" s="1" t="str">
        <x:v>Selective reporting (optional)</x:v>
      </x:c>
      <x:c r="F57" s="1" t="str">
        <x:v>Review-specific optional item</x:v>
      </x:c>
      <x:c r="G57" s="1" t="str">
        <x:v>Probably Low</x:v>
      </x:c>
      <x:c r="H57" s="1" t="str">
        <x:v>GI-by-time glucose outcomes were reported for all four conditions; no documented selective-result discrepancy identified.</x:v>
      </x:c>
      <x:c r="I57" s="1" t="str">
        <x:v>PDF pp2–6; CONSORT flow/Table 2</x:v>
      </x:c>
    </x:row>
    <x:row r="58" ht="34" customHeight="1">
      <x:c r="A58" s="1" t="str">
        <x:v>Jarrett_1972</x:v>
      </x:c>
      <x:c r="B58" s="1" t="str">
        <x:v>Jarrett_1972_primary</x:v>
      </x:c>
      <x:c r="C58" s="1" t="str">
        <x:v>Acute glucose AUC/iAUC and timed glucose/CGM outcomes</x:v>
      </x:c>
      <x:c r="D58" s="1" t="n">
        <x:v>1</x:v>
      </x:c>
      <x:c r="E58" s="1" t="str">
        <x:v>Random sequence generation</x:v>
      </x:c>
      <x:c r="F58" s="1" t="str">
        <x:v>Probably No</x:v>
      </x:c>
      <x:c r="G58" s="1" t="str">
        <x:v>Probably High</x:v>
      </x:c>
      <x:c r="H58" s="1" t="str">
        <x:v>Three OGTT times were tested in random order, but no sequence-generation method was reported.</x:v>
      </x:c>
      <x:c r="I58" s="1" t="str">
        <x:v>PDF pp1–3; Methods/Tables I–III</x:v>
      </x:c>
    </x:row>
    <x:row r="59" ht="34" customHeight="1">
      <x:c r="A59" s="1" t="str">
        <x:v>Jarrett_1972</x:v>
      </x:c>
      <x:c r="B59" s="1" t="str">
        <x:v>Jarrett_1972_primary</x:v>
      </x:c>
      <x:c r="C59" s="1" t="str">
        <x:v>Acute glucose AUC/iAUC and timed glucose/CGM outcomes</x:v>
      </x:c>
      <x:c r="D59" s="1" t="n">
        <x:v>2</x:v>
      </x:c>
      <x:c r="E59" s="1" t="str">
        <x:v>Allocation concealment</x:v>
      </x:c>
      <x:c r="F59" s="1" t="str">
        <x:v>Probably No</x:v>
      </x:c>
      <x:c r="G59" s="1" t="str">
        <x:v>Probably High</x:v>
      </x:c>
      <x:c r="H59" s="1" t="str">
        <x:v>No allocation-concealment procedure was reported.</x:v>
      </x:c>
      <x:c r="I59" s="1" t="str">
        <x:v>PDF pp1–3; Methods/Tables I–III</x:v>
      </x:c>
    </x:row>
    <x:row r="60" ht="34" customHeight="1">
      <x:c r="A60" s="1" t="str">
        <x:v>Jarrett_1972</x:v>
      </x:c>
      <x:c r="B60" s="1" t="str">
        <x:v>Jarrett_1972_primary</x:v>
      </x:c>
      <x:c r="C60" s="1" t="str">
        <x:v>Acute glucose AUC/iAUC and timed glucose/CGM outcomes</x:v>
      </x:c>
      <x:c r="D60" s="1" t="n">
        <x:v>3</x:v>
      </x:c>
      <x:c r="E60" s="1" t="str">
        <x:v>Blinding of participants</x:v>
      </x:c>
      <x:c r="F60" s="1" t="str">
        <x:v>Probably No</x:v>
      </x:c>
      <x:c r="G60" s="1" t="str">
        <x:v>Probably Low</x:v>
      </x:c>
      <x:c r="H60" s="1" t="str">
        <x:v>Timing was visible, but OGTT dose and research procedures were standardized.</x:v>
      </x:c>
      <x:c r="I60" s="1" t="str">
        <x:v>PDF pp1–3; Methods/Tables I–III</x:v>
      </x:c>
    </x:row>
    <x:row r="61" ht="34" customHeight="1">
      <x:c r="A61" s="1" t="str">
        <x:v>Jarrett_1972</x:v>
      </x:c>
      <x:c r="B61" s="1" t="str">
        <x:v>Jarrett_1972_primary</x:v>
      </x:c>
      <x:c r="C61" s="1" t="str">
        <x:v>Acute glucose AUC/iAUC and timed glucose/CGM outcomes</x:v>
      </x:c>
      <x:c r="D61" s="1" t="n">
        <x:v>4</x:v>
      </x:c>
      <x:c r="E61" s="1" t="str">
        <x:v>Blinding of healthcare providers</x:v>
      </x:c>
      <x:c r="F61" s="1" t="str">
        <x:v>Probably No</x:v>
      </x:c>
      <x:c r="G61" s="1" t="str">
        <x:v>Probably Low</x:v>
      </x:c>
      <x:c r="H61" s="1" t="str">
        <x:v>Staff blinding was not reported; glucose administration and sampling were standardized.</x:v>
      </x:c>
      <x:c r="I61" s="1" t="str">
        <x:v>PDF pp1–3; Methods/Tables I–III</x:v>
      </x:c>
    </x:row>
    <x:row r="62" ht="34" customHeight="1">
      <x:c r="A62" s="1" t="str">
        <x:v>Jarrett_1972</x:v>
      </x:c>
      <x:c r="B62" s="1" t="str">
        <x:v>Jarrett_1972_primary</x:v>
      </x:c>
      <x:c r="C62" s="1" t="str">
        <x:v>Acute glucose AUC/iAUC and timed glucose/CGM outcomes</x:v>
      </x:c>
      <x:c r="D62" s="1" t="n">
        <x:v>5</x:v>
      </x:c>
      <x:c r="E62" s="1" t="str">
        <x:v>Blinding of outcome assessors</x:v>
      </x:c>
      <x:c r="F62" s="1" t="str">
        <x:v>Probably No</x:v>
      </x:c>
      <x:c r="G62" s="1" t="str">
        <x:v>Probably Low</x:v>
      </x:c>
      <x:c r="H62" s="1" t="str">
        <x:v>Assessor blinding was not reported; laboratory measurement involves minimal judgment.</x:v>
      </x:c>
      <x:c r="I62" s="1" t="str">
        <x:v>PDF pp1–3; Methods/Tables I–III</x:v>
      </x:c>
    </x:row>
    <x:row r="63" ht="34" customHeight="1">
      <x:c r="A63" s="1" t="str">
        <x:v>Jarrett_1972</x:v>
      </x:c>
      <x:c r="B63" s="1" t="str">
        <x:v>Jarrett_1972_primary</x:v>
      </x:c>
      <x:c r="C63" s="1" t="str">
        <x:v>Acute glucose AUC/iAUC and timed glucose/CGM outcomes</x:v>
      </x:c>
      <x:c r="D63" s="1" t="n">
        <x:v>6</x:v>
      </x:c>
      <x:c r="E63" s="1" t="str">
        <x:v>Outcome data not included in analysis</x:v>
      </x:c>
      <x:c r="F63" s="1" t="str">
        <x:v>0/24</x:v>
      </x:c>
      <x:c r="G63" s="1" t="str">
        <x:v>Definitely Low</x:v>
      </x:c>
      <x:c r="H63" s="1" t="str">
        <x:v>All 24 participants contributed glucose results at the three randomized test times.</x:v>
      </x:c>
      <x:c r="I63" s="1" t="str">
        <x:v>PDF pp1–3; Methods/Tables I–III</x:v>
      </x:c>
    </x:row>
    <x:row r="64" ht="34" customHeight="1">
      <x:c r="A64" s="1" t="str">
        <x:v>Jarrett_1972</x:v>
      </x:c>
      <x:c r="B64" s="1" t="str">
        <x:v>Jarrett_1972_primary</x:v>
      </x:c>
      <x:c r="C64" s="1" t="str">
        <x:v>Acute glucose AUC/iAUC and timed glucose/CGM outcomes</x:v>
      </x:c>
      <x:c r="D64" s="1" t="n">
        <x:v>7</x:v>
      </x:c>
      <x:c r="E64" s="1" t="str">
        <x:v>Selective reporting (optional)</x:v>
      </x:c>
      <x:c r="F64" s="1" t="str">
        <x:v>Review-specific optional item</x:v>
      </x:c>
      <x:c r="G64" s="1" t="str">
        <x:v>Probably Low</x:v>
      </x:c>
      <x:c r="H64" s="1" t="str">
        <x:v>Timed glucose results were reported for all test times; historical report had no prospective protocol/SAP available.</x:v>
      </x:c>
      <x:c r="I64" s="1" t="str">
        <x:v>PDF pp1–3; Methods/Tables I–III</x:v>
      </x:c>
    </x:row>
    <x:row r="65" ht="34" customHeight="1">
      <x:c r="A65" s="1" t="str">
        <x:v>Lopez_Minguez_2018</x:v>
      </x:c>
      <x:c r="B65" s="1" t="str">
        <x:v>Lopez_Minguez_2018_primary</x:v>
      </x:c>
      <x:c r="C65" s="1" t="str">
        <x:v>Acute glucose AUC/iAUC and timed glucose/CGM outcomes</x:v>
      </x:c>
      <x:c r="D65" s="1" t="n">
        <x:v>1</x:v>
      </x:c>
      <x:c r="E65" s="1" t="str">
        <x:v>Random sequence generation</x:v>
      </x:c>
      <x:c r="F65" s="1" t="str">
        <x:v>Definitely Yes</x:v>
      </x:c>
      <x:c r="G65" s="1" t="str">
        <x:v>Definitely Low</x:v>
      </x:c>
      <x:c r="H65" s="1" t="str">
        <x:v>Balanced block size 2 sequence generated with randomization.com.</x:v>
      </x:c>
      <x:c r="I65" s="1" t="str">
        <x:v>PDF pp3–7; Randomization/Results</x:v>
      </x:c>
    </x:row>
    <x:row r="66" ht="34" customHeight="1">
      <x:c r="A66" s="1" t="str">
        <x:v>Lopez_Minguez_2018</x:v>
      </x:c>
      <x:c r="B66" s="1" t="str">
        <x:v>Lopez_Minguez_2018_primary</x:v>
      </x:c>
      <x:c r="C66" s="1" t="str">
        <x:v>Acute glucose AUC/iAUC and timed glucose/CGM outcomes</x:v>
      </x:c>
      <x:c r="D66" s="1" t="n">
        <x:v>2</x:v>
      </x:c>
      <x:c r="E66" s="1" t="str">
        <x:v>Allocation concealment</x:v>
      </x:c>
      <x:c r="F66" s="1" t="str">
        <x:v>Probably No</x:v>
      </x:c>
      <x:c r="G66" s="1" t="str">
        <x:v>Probably High</x:v>
      </x:c>
      <x:c r="H66" s="1" t="str">
        <x:v>No allocation-concealment procedure was reported.</x:v>
      </x:c>
      <x:c r="I66" s="1" t="str">
        <x:v>PDF pp3–7; Randomization/Results</x:v>
      </x:c>
    </x:row>
    <x:row r="67" ht="34" customHeight="1">
      <x:c r="A67" s="1" t="str">
        <x:v>Lopez_Minguez_2018</x:v>
      </x:c>
      <x:c r="B67" s="1" t="str">
        <x:v>Lopez_Minguez_2018_primary</x:v>
      </x:c>
      <x:c r="C67" s="1" t="str">
        <x:v>Acute glucose AUC/iAUC and timed glucose/CGM outcomes</x:v>
      </x:c>
      <x:c r="D67" s="1" t="n">
        <x:v>3</x:v>
      </x:c>
      <x:c r="E67" s="1" t="str">
        <x:v>Blinding of participants</x:v>
      </x:c>
      <x:c r="F67" s="1" t="str">
        <x:v>Probably No</x:v>
      </x:c>
      <x:c r="G67" s="1" t="str">
        <x:v>Probably Low</x:v>
      </x:c>
      <x:c r="H67" s="1" t="str">
        <x:v>Participants knew dinner timing at home; identical food, monitored timing, and standardized fasting reduce differential behavior.</x:v>
      </x:c>
      <x:c r="I67" s="1" t="str">
        <x:v>PDF pp3–7; Randomization/Results</x:v>
      </x:c>
    </x:row>
    <x:row r="68" ht="34" customHeight="1">
      <x:c r="A68" s="1" t="str">
        <x:v>Lopez_Minguez_2018</x:v>
      </x:c>
      <x:c r="B68" s="1" t="str">
        <x:v>Lopez_Minguez_2018_primary</x:v>
      </x:c>
      <x:c r="C68" s="1" t="str">
        <x:v>Acute glucose AUC/iAUC and timed glucose/CGM outcomes</x:v>
      </x:c>
      <x:c r="D68" s="1" t="n">
        <x:v>4</x:v>
      </x:c>
      <x:c r="E68" s="1" t="str">
        <x:v>Blinding of healthcare providers</x:v>
      </x:c>
      <x:c r="F68" s="1" t="str">
        <x:v>Probably No</x:v>
      </x:c>
      <x:c r="G68" s="1" t="str">
        <x:v>Probably Low</x:v>
      </x:c>
      <x:c r="H68" s="1" t="str">
        <x:v>Staff blinding was not reported; the meal and glucose-sampling protocol was standardized.</x:v>
      </x:c>
      <x:c r="I68" s="1" t="str">
        <x:v>PDF pp3–7; Randomization/Results</x:v>
      </x:c>
    </x:row>
    <x:row r="69" ht="34" customHeight="1">
      <x:c r="A69" s="1" t="str">
        <x:v>Lopez_Minguez_2018</x:v>
      </x:c>
      <x:c r="B69" s="1" t="str">
        <x:v>Lopez_Minguez_2018_primary</x:v>
      </x:c>
      <x:c r="C69" s="1" t="str">
        <x:v>Acute glucose AUC/iAUC and timed glucose/CGM outcomes</x:v>
      </x:c>
      <x:c r="D69" s="1" t="n">
        <x:v>5</x:v>
      </x:c>
      <x:c r="E69" s="1" t="str">
        <x:v>Blinding of outcome assessors</x:v>
      </x:c>
      <x:c r="F69" s="1" t="str">
        <x:v>Probably No</x:v>
      </x:c>
      <x:c r="G69" s="1" t="str">
        <x:v>Probably Low</x:v>
      </x:c>
      <x:c r="H69" s="1" t="str">
        <x:v>Assessor blinding was not reported; laboratory glucose measurement involves minimal judgment.</x:v>
      </x:c>
      <x:c r="I69" s="1" t="str">
        <x:v>PDF pp3–7; Randomization/Results</x:v>
      </x:c>
    </x:row>
    <x:row r="70" ht="34" customHeight="1">
      <x:c r="A70" s="1" t="str">
        <x:v>Lopez_Minguez_2018</x:v>
      </x:c>
      <x:c r="B70" s="1" t="str">
        <x:v>Lopez_Minguez_2018_primary</x:v>
      </x:c>
      <x:c r="C70" s="1" t="str">
        <x:v>Acute glucose AUC/iAUC and timed glucose/CGM outcomes</x:v>
      </x:c>
      <x:c r="D70" s="1" t="n">
        <x:v>6</x:v>
      </x:c>
      <x:c r="E70" s="1" t="str">
        <x:v>Outcome data not included in analysis</x:v>
      </x:c>
      <x:c r="F70" s="1" t="str">
        <x:v>0/40</x:v>
      </x:c>
      <x:c r="G70" s="1" t="str">
        <x:v>Definitely Low</x:v>
      </x:c>
      <x:c r="H70" s="1" t="str">
        <x:v>All 40 randomized participants completed both dinner conditions and were analyzed.</x:v>
      </x:c>
      <x:c r="I70" s="1" t="str">
        <x:v>PDF pp3–7; Randomization/Results</x:v>
      </x:c>
    </x:row>
    <x:row r="71" ht="34" customHeight="1">
      <x:c r="A71" s="1" t="str">
        <x:v>Lopez_Minguez_2018</x:v>
      </x:c>
      <x:c r="B71" s="1" t="str">
        <x:v>Lopez_Minguez_2018_primary</x:v>
      </x:c>
      <x:c r="C71" s="1" t="str">
        <x:v>Acute glucose AUC/iAUC and timed glucose/CGM outcomes</x:v>
      </x:c>
      <x:c r="D71" s="1" t="n">
        <x:v>7</x:v>
      </x:c>
      <x:c r="E71" s="1" t="str">
        <x:v>Selective reporting (optional)</x:v>
      </x:c>
      <x:c r="F71" s="1" t="str">
        <x:v>Review-specific optional item</x:v>
      </x:c>
      <x:c r="G71" s="1" t="str">
        <x:v>Probably Low</x:v>
      </x:c>
      <x:c r="H71" s="1" t="str">
        <x:v>Total-sample and genotype-stratified glucose AUC results were reported; no documented selective-result discrepancy identified.</x:v>
      </x:c>
      <x:c r="I71" s="1" t="str">
        <x:v>PDF pp3–7; Randomization/Results</x:v>
      </x:c>
    </x:row>
    <x:row r="72" ht="34" customHeight="1">
      <x:c r="A72" s="1" t="str">
        <x:v>Lu_2022</x:v>
      </x:c>
      <x:c r="B72" s="1" t="str">
        <x:v>Lu_2022_primary</x:v>
      </x:c>
      <x:c r="C72" s="1" t="str">
        <x:v>Acute glucose AUC/iAUC and timed glucose/CGM outcomes</x:v>
      </x:c>
      <x:c r="D72" s="1" t="n">
        <x:v>1</x:v>
      </x:c>
      <x:c r="E72" s="1" t="str">
        <x:v>Random sequence generation</x:v>
      </x:c>
      <x:c r="F72" s="1" t="str">
        <x:v>Probably No</x:v>
      </x:c>
      <x:c r="G72" s="1" t="str">
        <x:v>Probably High</x:v>
      </x:c>
      <x:c r="H72" s="1" t="str">
        <x:v>Randomized crossover order stated; sequence-generation method, simple/block/stratified randomization and concealment not described.</x:v>
      </x:c>
      <x:c r="I72" s="1" t="str">
        <x:v>PDF pp3–8; Methods 2.2/2.5/2.6, Results 3.1/3.3 and Figure 3</x:v>
      </x:c>
    </x:row>
    <x:row r="73" ht="34" customHeight="1">
      <x:c r="A73" s="1" t="str">
        <x:v>Lu_2022</x:v>
      </x:c>
      <x:c r="B73" s="1" t="str">
        <x:v>Lu_2022_primary</x:v>
      </x:c>
      <x:c r="C73" s="1" t="str">
        <x:v>Acute glucose AUC/iAUC and timed glucose/CGM outcomes</x:v>
      </x:c>
      <x:c r="D73" s="1" t="n">
        <x:v>2</x:v>
      </x:c>
      <x:c r="E73" s="1" t="str">
        <x:v>Allocation concealment</x:v>
      </x:c>
      <x:c r="F73" s="1" t="str">
        <x:v>Probably No</x:v>
      </x:c>
      <x:c r="G73" s="1" t="str">
        <x:v>Probably High</x:v>
      </x:c>
      <x:c r="H73" s="1" t="str">
        <x:v>Open-label feeding study; concealment procedure not reported.</x:v>
      </x:c>
      <x:c r="I73" s="1" t="str">
        <x:v>PDF pp3–8; Methods 2.2/2.5/2.6, Results 3.1/3.3 and Figure 3</x:v>
      </x:c>
    </x:row>
    <x:row r="74" ht="34" customHeight="1">
      <x:c r="A74" s="1" t="str">
        <x:v>Lu_2022</x:v>
      </x:c>
      <x:c r="B74" s="1" t="str">
        <x:v>Lu_2022_primary</x:v>
      </x:c>
      <x:c r="C74" s="1" t="str">
        <x:v>Acute glucose AUC/iAUC and timed glucose/CGM outcomes</x:v>
      </x:c>
      <x:c r="D74" s="1" t="n">
        <x:v>3</x:v>
      </x:c>
      <x:c r="E74" s="1" t="str">
        <x:v>Blinding of participants</x:v>
      </x:c>
      <x:c r="F74" s="1" t="str">
        <x:v>Probably No</x:v>
      </x:c>
      <x:c r="G74" s="1" t="str">
        <x:v>Probably Low</x:v>
      </x:c>
      <x:c r="H74" s="1" t="str">
        <x:v>Unblinded timing; matched prepared meals and controlled test-day intake make expectation-related differences unlikely.</x:v>
      </x:c>
      <x:c r="I74" s="1" t="str">
        <x:v>PDF pp3–8; Methods 2.2/2.5/2.6, Results 3.1/3.3 and Figure 3</x:v>
      </x:c>
    </x:row>
    <x:row r="75" ht="34" customHeight="1">
      <x:c r="A75" s="1" t="str">
        <x:v>Lu_2022</x:v>
      </x:c>
      <x:c r="B75" s="1" t="str">
        <x:v>Lu_2022_primary</x:v>
      </x:c>
      <x:c r="C75" s="1" t="str">
        <x:v>Acute glucose AUC/iAUC and timed glucose/CGM outcomes</x:v>
      </x:c>
      <x:c r="D75" s="1" t="n">
        <x:v>4</x:v>
      </x:c>
      <x:c r="E75" s="1" t="str">
        <x:v>Blinding of healthcare providers</x:v>
      </x:c>
      <x:c r="F75" s="1" t="str">
        <x:v>Probably No</x:v>
      </x:c>
      <x:c r="G75" s="1" t="str">
        <x:v>Probably Low</x:v>
      </x:c>
      <x:c r="H75" s="1" t="str">
        <x:v>Unblinded delivery, but foods were weighed and protocols standardized across the no-preload conditions.</x:v>
      </x:c>
      <x:c r="I75" s="1" t="str">
        <x:v>PDF pp3–8; Methods 2.2/2.5/2.6, Results 3.1/3.3 and Figure 3</x:v>
      </x:c>
    </x:row>
    <x:row r="76" ht="34" customHeight="1">
      <x:c r="A76" s="1" t="str">
        <x:v>Lu_2022</x:v>
      </x:c>
      <x:c r="B76" s="1" t="str">
        <x:v>Lu_2022_primary</x:v>
      </x:c>
      <x:c r="C76" s="1" t="str">
        <x:v>Acute glucose AUC/iAUC and timed glucose/CGM outcomes</x:v>
      </x:c>
      <x:c r="D76" s="1" t="n">
        <x:v>5</x:v>
      </x:c>
      <x:c r="E76" s="1" t="str">
        <x:v>Blinding of outcome assessors</x:v>
      </x:c>
      <x:c r="F76" s="1" t="str">
        <x:v>Probably No</x:v>
      </x:c>
      <x:c r="G76" s="1" t="str">
        <x:v>Probably Low</x:v>
      </x:c>
      <x:c r="H76" s="1" t="str">
        <x:v>Assessor masking not reported; glucose measured instrumentally, limiting judgment. AUC-window reporting ambiguity is recorded separately.</x:v>
      </x:c>
      <x:c r="I76" s="1" t="str">
        <x:v>PDF pp3–8; Methods 2.2/2.5/2.6, Results 3.1/3.3 and Figure 3</x:v>
      </x:c>
    </x:row>
    <x:row r="77" ht="34" customHeight="1">
      <x:c r="A77" s="1" t="str">
        <x:v>Lu_2022</x:v>
      </x:c>
      <x:c r="B77" s="1" t="str">
        <x:v>Lu_2022_primary</x:v>
      </x:c>
      <x:c r="C77" s="1" t="str">
        <x:v>Acute glucose AUC/iAUC and timed glucose/CGM outcomes</x:v>
      </x:c>
      <x:c r="D77" s="1" t="n">
        <x:v>6</x:v>
      </x:c>
      <x:c r="E77" s="1" t="str">
        <x:v>Outcome data not included in analysis</x:v>
      </x:c>
      <x:c r="F77" s="1" t="str">
        <x:v>6/26 (23.1%); CGM 0/26</x:v>
      </x:c>
      <x:c r="G77" s="1" t="str">
        <x:v>Definitely High</x:v>
      </x:c>
      <x:c r="H77" s="1" t="str">
        <x:v>All 26 completed CGM. Capillary glucose/insulin absent in 6/26 (23.1%) owing to blood-collection difficulty. Definitely high for capillary outcomes under review thresholds; CGM missing-participant risk definitely low (0/26).</x:v>
      </x:c>
      <x:c r="I77" s="1" t="str">
        <x:v>PDF pp3–8; Methods 2.2/2.5/2.6, Results 3.1/3.3 and Figure 3</x:v>
      </x:c>
    </x:row>
    <x:row r="78" ht="34" customHeight="1">
      <x:c r="A78" s="1" t="str">
        <x:v>Lu_2022</x:v>
      </x:c>
      <x:c r="B78" s="1" t="str">
        <x:v>Lu_2022_primary</x:v>
      </x:c>
      <x:c r="C78" s="1" t="str">
        <x:v>Acute glucose AUC/iAUC and timed glucose/CGM outcomes</x:v>
      </x:c>
      <x:c r="D78" s="1" t="n">
        <x:v>7</x:v>
      </x:c>
      <x:c r="E78" s="1" t="str">
        <x:v>Selective reporting (optional)</x:v>
      </x:c>
      <x:c r="F78" s="1" t="str">
        <x:v>Optional item</x:v>
      </x:c>
      <x:c r="G78" s="1" t="str">
        <x:v>Probably High</x:v>
      </x:c>
      <x:c r="H78" s="1" t="str">
        <x:v>AUC labels describe 0-120 min while methods/curves show -30 to +90; CGM 270-min lunch window overlaps dinner in late condition. Registry cited but not independently verified; endpoint reporting remains uncertain.</x:v>
      </x:c>
      <x:c r="I78" s="1" t="str">
        <x:v>PDF pp3–8; Methods 2.2/2.5/2.6, Results 3.1/3.3 and Figure 3</x:v>
      </x:c>
    </x:row>
    <x:row r="79" ht="34" customHeight="1">
      <x:c r="A79" s="1" t="str">
        <x:v>Nakamura_2021</x:v>
      </x:c>
      <x:c r="B79" s="1" t="str">
        <x:v>Nakamura_2021_primary</x:v>
      </x:c>
      <x:c r="C79" s="1" t="str">
        <x:v>Acute glucose AUC/iAUC and timed glucose/CGM outcomes</x:v>
      </x:c>
      <x:c r="D79" s="1" t="n">
        <x:v>1</x:v>
      </x:c>
      <x:c r="E79" s="1" t="str">
        <x:v>Random sequence generation</x:v>
      </x:c>
      <x:c r="F79" s="1" t="str">
        <x:v>Definitely Yes</x:v>
      </x:c>
      <x:c r="G79" s="1" t="str">
        <x:v>Definitely Low</x:v>
      </x:c>
      <x:c r="H79" s="1" t="str">
        <x:v>Fourteen participants were allocated to two sequences using a random number generator.</x:v>
      </x:c>
      <x:c r="I79" s="1" t="str">
        <x:v>PDF pp3–7; participant flow/Figure 3</x:v>
      </x:c>
    </x:row>
    <x:row r="80" ht="34" customHeight="1">
      <x:c r="A80" s="1" t="str">
        <x:v>Nakamura_2021</x:v>
      </x:c>
      <x:c r="B80" s="1" t="str">
        <x:v>Nakamura_2021_primary</x:v>
      </x:c>
      <x:c r="C80" s="1" t="str">
        <x:v>Acute glucose AUC/iAUC and timed glucose/CGM outcomes</x:v>
      </x:c>
      <x:c r="D80" s="1" t="n">
        <x:v>2</x:v>
      </x:c>
      <x:c r="E80" s="1" t="str">
        <x:v>Allocation concealment</x:v>
      </x:c>
      <x:c r="F80" s="1" t="str">
        <x:v>Probably No</x:v>
      </x:c>
      <x:c r="G80" s="1" t="str">
        <x:v>Probably High</x:v>
      </x:c>
      <x:c r="H80" s="1" t="str">
        <x:v>No allocation-concealment procedure was reported.</x:v>
      </x:c>
      <x:c r="I80" s="1" t="str">
        <x:v>PDF pp3–7; participant flow/Figure 3</x:v>
      </x:c>
    </x:row>
    <x:row r="81" ht="34" customHeight="1">
      <x:c r="A81" s="1" t="str">
        <x:v>Nakamura_2021</x:v>
      </x:c>
      <x:c r="B81" s="1" t="str">
        <x:v>Nakamura_2021_primary</x:v>
      </x:c>
      <x:c r="C81" s="1" t="str">
        <x:v>Acute glucose AUC/iAUC and timed glucose/CGM outcomes</x:v>
      </x:c>
      <x:c r="D81" s="1" t="n">
        <x:v>3</x:v>
      </x:c>
      <x:c r="E81" s="1" t="str">
        <x:v>Blinding of participants</x:v>
      </x:c>
      <x:c r="F81" s="1" t="str">
        <x:v>Probably No</x:v>
      </x:c>
      <x:c r="G81" s="1" t="str">
        <x:v>Probably Low</x:v>
      </x:c>
      <x:c r="H81" s="1" t="str">
        <x:v>Dinner timing was visible, but meals were prescribed/provided and activity restrictions were standardized.</x:v>
      </x:c>
      <x:c r="I81" s="1" t="str">
        <x:v>PDF pp3–7; participant flow/Figure 3</x:v>
      </x:c>
    </x:row>
    <x:row r="82" ht="34" customHeight="1">
      <x:c r="A82" s="1" t="str">
        <x:v>Nakamura_2021</x:v>
      </x:c>
      <x:c r="B82" s="1" t="str">
        <x:v>Nakamura_2021_primary</x:v>
      </x:c>
      <x:c r="C82" s="1" t="str">
        <x:v>Acute glucose AUC/iAUC and timed glucose/CGM outcomes</x:v>
      </x:c>
      <x:c r="D82" s="1" t="n">
        <x:v>4</x:v>
      </x:c>
      <x:c r="E82" s="1" t="str">
        <x:v>Blinding of healthcare providers</x:v>
      </x:c>
      <x:c r="F82" s="1" t="str">
        <x:v>Probably No</x:v>
      </x:c>
      <x:c r="G82" s="1" t="str">
        <x:v>Probably Low</x:v>
      </x:c>
      <x:c r="H82" s="1" t="str">
        <x:v>Staff blinding was not reported; meal delivery and laboratory procedures were standardized.</x:v>
      </x:c>
      <x:c r="I82" s="1" t="str">
        <x:v>PDF pp3–7; participant flow/Figure 3</x:v>
      </x:c>
    </x:row>
    <x:row r="83" ht="34" customHeight="1">
      <x:c r="A83" s="1" t="str">
        <x:v>Nakamura_2021</x:v>
      </x:c>
      <x:c r="B83" s="1" t="str">
        <x:v>Nakamura_2021_primary</x:v>
      </x:c>
      <x:c r="C83" s="1" t="str">
        <x:v>Acute glucose AUC/iAUC and timed glucose/CGM outcomes</x:v>
      </x:c>
      <x:c r="D83" s="1" t="n">
        <x:v>5</x:v>
      </x:c>
      <x:c r="E83" s="1" t="str">
        <x:v>Blinding of outcome assessors</x:v>
      </x:c>
      <x:c r="F83" s="1" t="str">
        <x:v>Probably No</x:v>
      </x:c>
      <x:c r="G83" s="1" t="str">
        <x:v>Probably Low</x:v>
      </x:c>
      <x:c r="H83" s="1" t="str">
        <x:v>Assessor blinding was not reported; CGM and laboratory measurements involve minimal judgment.</x:v>
      </x:c>
      <x:c r="I83" s="1" t="str">
        <x:v>PDF pp3–7; participant flow/Figure 3</x:v>
      </x:c>
    </x:row>
    <x:row r="84" ht="34" customHeight="1">
      <x:c r="A84" s="1" t="str">
        <x:v>Nakamura_2021</x:v>
      </x:c>
      <x:c r="B84" s="1" t="str">
        <x:v>Nakamura_2021_primary</x:v>
      </x:c>
      <x:c r="C84" s="1" t="str">
        <x:v>Acute glucose AUC/iAUC and timed glucose/CGM outcomes</x:v>
      </x:c>
      <x:c r="D84" s="1" t="n">
        <x:v>6</x:v>
      </x:c>
      <x:c r="E84" s="1" t="str">
        <x:v>Outcome data not included in analysis</x:v>
      </x:c>
      <x:c r="F84" s="1" t="str">
        <x:v>2/14</x:v>
      </x:c>
      <x:c r="G84" s="1" t="str">
        <x:v>Probably High</x:v>
      </x:c>
      <x:c r="H84" s="1" t="str">
        <x:v>Fourteen were randomized; one illness dropout and one scheduling withdrawal left 12 analyzed (14.3% not analyzed).</x:v>
      </x:c>
      <x:c r="I84" s="1" t="str">
        <x:v>PDF pp3–7; participant flow/Figure 3</x:v>
      </x:c>
    </x:row>
    <x:row r="85" ht="34" customHeight="1">
      <x:c r="A85" s="1" t="str">
        <x:v>Nakamura_2021</x:v>
      </x:c>
      <x:c r="B85" s="1" t="str">
        <x:v>Nakamura_2021_primary</x:v>
      </x:c>
      <x:c r="C85" s="1" t="str">
        <x:v>Acute glucose AUC/iAUC and timed glucose/CGM outcomes</x:v>
      </x:c>
      <x:c r="D85" s="1" t="n">
        <x:v>7</x:v>
      </x:c>
      <x:c r="E85" s="1" t="str">
        <x:v>Selective reporting (optional)</x:v>
      </x:c>
      <x:c r="F85" s="1" t="str">
        <x:v>Review-specific optional item</x:v>
      </x:c>
      <x:c r="G85" s="1" t="str">
        <x:v>Probably Low</x:v>
      </x:c>
      <x:c r="H85" s="1" t="str">
        <x:v>Dinner and 24-h CGM outcomes were reported, but exact figure-only iAUC values and the prospective analysis plan were unavailable.</x:v>
      </x:c>
      <x:c r="I85" s="1" t="str">
        <x:v>PDF pp3–7; participant flow/Figure 3</x:v>
      </x:c>
    </x:row>
    <x:row r="86" ht="34" customHeight="1">
      <x:c r="A86" s="1" t="str">
        <x:v>Pizinger_2018</x:v>
      </x:c>
      <x:c r="B86" s="1" t="str">
        <x:v>Pizinger_2018_primary</x:v>
      </x:c>
      <x:c r="C86" s="1" t="str">
        <x:v>Acute glucose AUC/iAUC and timed glucose/CGM outcomes</x:v>
      </x:c>
      <x:c r="D86" s="1" t="n">
        <x:v>1</x:v>
      </x:c>
      <x:c r="E86" s="1" t="str">
        <x:v>Random sequence generation</x:v>
      </x:c>
      <x:c r="F86" s="1" t="str">
        <x:v>Probably No</x:v>
      </x:c>
      <x:c r="G86" s="1" t="str">
        <x:v>Probably High</x:v>
      </x:c>
      <x:c r="H86" s="1" t="str">
        <x:v>Participants were assigned one of 24 phase combinations from a randomization schedule; schedule generation was not described.</x:v>
      </x:c>
      <x:c r="I86" s="1" t="str">
        <x:v>PDF pp2–5; Methods/Results</x:v>
      </x:c>
    </x:row>
    <x:row r="87" ht="34" customHeight="1">
      <x:c r="A87" s="1" t="str">
        <x:v>Pizinger_2018</x:v>
      </x:c>
      <x:c r="B87" s="1" t="str">
        <x:v>Pizinger_2018_primary</x:v>
      </x:c>
      <x:c r="C87" s="1" t="str">
        <x:v>Acute glucose AUC/iAUC and timed glucose/CGM outcomes</x:v>
      </x:c>
      <x:c r="D87" s="1" t="n">
        <x:v>2</x:v>
      </x:c>
      <x:c r="E87" s="1" t="str">
        <x:v>Allocation concealment</x:v>
      </x:c>
      <x:c r="F87" s="1" t="str">
        <x:v>Probably No</x:v>
      </x:c>
      <x:c r="G87" s="1" t="str">
        <x:v>Probably High</x:v>
      </x:c>
      <x:c r="H87" s="1" t="str">
        <x:v>No allocation-concealment procedure was reported.</x:v>
      </x:c>
      <x:c r="I87" s="1" t="str">
        <x:v>PDF pp2–5; Methods/Results</x:v>
      </x:c>
    </x:row>
    <x:row r="88" ht="34" customHeight="1">
      <x:c r="A88" s="1" t="str">
        <x:v>Pizinger_2018</x:v>
      </x:c>
      <x:c r="B88" s="1" t="str">
        <x:v>Pizinger_2018_primary</x:v>
      </x:c>
      <x:c r="C88" s="1" t="str">
        <x:v>Acute glucose AUC/iAUC and timed glucose/CGM outcomes</x:v>
      </x:c>
      <x:c r="D88" s="1" t="n">
        <x:v>3</x:v>
      </x:c>
      <x:c r="E88" s="1" t="str">
        <x:v>Blinding of participants</x:v>
      </x:c>
      <x:c r="F88" s="1" t="str">
        <x:v>Probably No</x:v>
      </x:c>
      <x:c r="G88" s="1" t="str">
        <x:v>Probably Low</x:v>
      </x:c>
      <x:c r="H88" s="1" t="str">
        <x:v>Meal/sleep timing was visible, but the inpatient protocol fixed sleep duration, food intake, and light.</x:v>
      </x:c>
      <x:c r="I88" s="1" t="str">
        <x:v>PDF pp2–5; Methods/Results</x:v>
      </x:c>
    </x:row>
    <x:row r="89" ht="34" customHeight="1">
      <x:c r="A89" s="1" t="str">
        <x:v>Pizinger_2018</x:v>
      </x:c>
      <x:c r="B89" s="1" t="str">
        <x:v>Pizinger_2018_primary</x:v>
      </x:c>
      <x:c r="C89" s="1" t="str">
        <x:v>Acute glucose AUC/iAUC and timed glucose/CGM outcomes</x:v>
      </x:c>
      <x:c r="D89" s="1" t="n">
        <x:v>4</x:v>
      </x:c>
      <x:c r="E89" s="1" t="str">
        <x:v>Blinding of healthcare providers</x:v>
      </x:c>
      <x:c r="F89" s="1" t="str">
        <x:v>Probably No</x:v>
      </x:c>
      <x:c r="G89" s="1" t="str">
        <x:v>Probably Low</x:v>
      </x:c>
      <x:c r="H89" s="1" t="str">
        <x:v>Staff blinding was not reported; inpatient procedures were standardized.</x:v>
      </x:c>
      <x:c r="I89" s="1" t="str">
        <x:v>PDF pp2–5; Methods/Results</x:v>
      </x:c>
    </x:row>
    <x:row r="90" ht="34" customHeight="1">
      <x:c r="A90" s="1" t="str">
        <x:v>Pizinger_2018</x:v>
      </x:c>
      <x:c r="B90" s="1" t="str">
        <x:v>Pizinger_2018_primary</x:v>
      </x:c>
      <x:c r="C90" s="1" t="str">
        <x:v>Acute glucose AUC/iAUC and timed glucose/CGM outcomes</x:v>
      </x:c>
      <x:c r="D90" s="1" t="n">
        <x:v>5</x:v>
      </x:c>
      <x:c r="E90" s="1" t="str">
        <x:v>Blinding of outcome assessors</x:v>
      </x:c>
      <x:c r="F90" s="1" t="str">
        <x:v>Probably No</x:v>
      </x:c>
      <x:c r="G90" s="1" t="str">
        <x:v>Probably Low</x:v>
      </x:c>
      <x:c r="H90" s="1" t="str">
        <x:v>Assessor blinding was not reported; laboratory measurements involve minimal judgment.</x:v>
      </x:c>
      <x:c r="I90" s="1" t="str">
        <x:v>PDF pp2–5; Methods/Results</x:v>
      </x:c>
    </x:row>
    <x:row r="91" ht="34" customHeight="1">
      <x:c r="A91" s="1" t="str">
        <x:v>Pizinger_2018</x:v>
      </x:c>
      <x:c r="B91" s="1" t="str">
        <x:v>Pizinger_2018_primary</x:v>
      </x:c>
      <x:c r="C91" s="1" t="str">
        <x:v>Acute glucose AUC/iAUC and timed glucose/CGM outcomes</x:v>
      </x:c>
      <x:c r="D91" s="1" t="n">
        <x:v>6</x:v>
      </x:c>
      <x:c r="E91" s="1" t="str">
        <x:v>Outcome data not included in analysis</x:v>
      </x:c>
      <x:c r="F91" s="1" t="str">
        <x:v>0/6</x:v>
      </x:c>
      <x:c r="G91" s="1" t="str">
        <x:v>Definitely Low</x:v>
      </x:c>
      <x:c r="H91" s="1" t="str">
        <x:v>All six participants were included in mixed models; one participant missed one of four phases, but their available outcome data were analyzed.</x:v>
      </x:c>
      <x:c r="I91" s="1" t="str">
        <x:v>PDF pp2–5; Methods/Results</x:v>
      </x:c>
    </x:row>
    <x:row r="92" ht="34" customHeight="1">
      <x:c r="A92" s="1" t="str">
        <x:v>Pizinger_2018</x:v>
      </x:c>
      <x:c r="B92" s="1" t="str">
        <x:v>Pizinger_2018_primary</x:v>
      </x:c>
      <x:c r="C92" s="1" t="str">
        <x:v>Acute glucose AUC/iAUC and timed glucose/CGM outcomes</x:v>
      </x:c>
      <x:c r="D92" s="1" t="n">
        <x:v>7</x:v>
      </x:c>
      <x:c r="E92" s="1" t="str">
        <x:v>Selective reporting (optional)</x:v>
      </x:c>
      <x:c r="F92" s="1" t="str">
        <x:v>Review-specific optional item</x:v>
      </x:c>
      <x:c r="G92" s="1" t="str">
        <x:v>Probably Low</x:v>
      </x:c>
      <x:c r="H92" s="1" t="str">
        <x:v>Factorial meal/sleep outcomes were reported; no prospective SAP was available to eliminate all analysis-choice flexibility.</x:v>
      </x:c>
      <x:c r="I92" s="1" t="str">
        <x:v>PDF pp2–5; Methods/Results</x:v>
      </x:c>
    </x:row>
    <x:row r="93" ht="34" customHeight="1">
      <x:c r="A93" s="1" t="str">
        <x:v>Sato_2011</x:v>
      </x:c>
      <x:c r="B93" s="1" t="str">
        <x:v>Sato_2011_primary</x:v>
      </x:c>
      <x:c r="C93" s="1" t="str">
        <x:v>Acute glucose AUC/iAUC and timed glucose/CGM outcomes</x:v>
      </x:c>
      <x:c r="D93" s="1" t="n">
        <x:v>1</x:v>
      </x:c>
      <x:c r="E93" s="1" t="str">
        <x:v>Random sequence generation</x:v>
      </x:c>
      <x:c r="F93" s="1" t="str">
        <x:v>Probably No</x:v>
      </x:c>
      <x:c r="G93" s="1" t="str">
        <x:v>Probably High</x:v>
      </x:c>
      <x:c r="H93" s="1" t="str">
        <x:v>Repeated-measures conditions were randomized, but the sequence-generation method was not reported.</x:v>
      </x:c>
      <x:c r="I93" s="1" t="str">
        <x:v>PDF pp2–5; Methods/Results</x:v>
      </x:c>
    </x:row>
    <x:row r="94" ht="34" customHeight="1">
      <x:c r="A94" s="1" t="str">
        <x:v>Sato_2011</x:v>
      </x:c>
      <x:c r="B94" s="1" t="str">
        <x:v>Sato_2011_primary</x:v>
      </x:c>
      <x:c r="C94" s="1" t="str">
        <x:v>Acute glucose AUC/iAUC and timed glucose/CGM outcomes</x:v>
      </x:c>
      <x:c r="D94" s="1" t="n">
        <x:v>2</x:v>
      </x:c>
      <x:c r="E94" s="1" t="str">
        <x:v>Allocation concealment</x:v>
      </x:c>
      <x:c r="F94" s="1" t="str">
        <x:v>Probably No</x:v>
      </x:c>
      <x:c r="G94" s="1" t="str">
        <x:v>Probably High</x:v>
      </x:c>
      <x:c r="H94" s="1" t="str">
        <x:v>No allocation-concealment procedure was reported.</x:v>
      </x:c>
      <x:c r="I94" s="1" t="str">
        <x:v>PDF pp2–5; Methods/Results</x:v>
      </x:c>
    </x:row>
    <x:row r="95" ht="34" customHeight="1">
      <x:c r="A95" s="1" t="str">
        <x:v>Sato_2011</x:v>
      </x:c>
      <x:c r="B95" s="1" t="str">
        <x:v>Sato_2011_primary</x:v>
      </x:c>
      <x:c r="C95" s="1" t="str">
        <x:v>Acute glucose AUC/iAUC and timed glucose/CGM outcomes</x:v>
      </x:c>
      <x:c r="D95" s="1" t="n">
        <x:v>3</x:v>
      </x:c>
      <x:c r="E95" s="1" t="str">
        <x:v>Blinding of participants</x:v>
      </x:c>
      <x:c r="F95" s="1" t="str">
        <x:v>Probably No</x:v>
      </x:c>
      <x:c r="G95" s="1" t="str">
        <x:v>Probably Low</x:v>
      </x:c>
      <x:c r="H95" s="1" t="str">
        <x:v>Dinner timing was visible, but the 24-h metabolic-chamber schedule and meals were controlled.</x:v>
      </x:c>
      <x:c r="I95" s="1" t="str">
        <x:v>PDF pp2–5; Methods/Results</x:v>
      </x:c>
    </x:row>
    <x:row r="96" ht="34" customHeight="1">
      <x:c r="A96" s="1" t="str">
        <x:v>Sato_2011</x:v>
      </x:c>
      <x:c r="B96" s="1" t="str">
        <x:v>Sato_2011_primary</x:v>
      </x:c>
      <x:c r="C96" s="1" t="str">
        <x:v>Acute glucose AUC/iAUC and timed glucose/CGM outcomes</x:v>
      </x:c>
      <x:c r="D96" s="1" t="n">
        <x:v>4</x:v>
      </x:c>
      <x:c r="E96" s="1" t="str">
        <x:v>Blinding of healthcare providers</x:v>
      </x:c>
      <x:c r="F96" s="1" t="str">
        <x:v>Probably No</x:v>
      </x:c>
      <x:c r="G96" s="1" t="str">
        <x:v>Probably Low</x:v>
      </x:c>
      <x:c r="H96" s="1" t="str">
        <x:v>Staff blinding was not reported; chamber procedures were standardized.</x:v>
      </x:c>
      <x:c r="I96" s="1" t="str">
        <x:v>PDF pp2–5; Methods/Results</x:v>
      </x:c>
    </x:row>
    <x:row r="97" ht="34" customHeight="1">
      <x:c r="A97" s="1" t="str">
        <x:v>Sato_2011</x:v>
      </x:c>
      <x:c r="B97" s="1" t="str">
        <x:v>Sato_2011_primary</x:v>
      </x:c>
      <x:c r="C97" s="1" t="str">
        <x:v>Acute glucose AUC/iAUC and timed glucose/CGM outcomes</x:v>
      </x:c>
      <x:c r="D97" s="1" t="n">
        <x:v>5</x:v>
      </x:c>
      <x:c r="E97" s="1" t="str">
        <x:v>Blinding of outcome assessors</x:v>
      </x:c>
      <x:c r="F97" s="1" t="str">
        <x:v>Probably No</x:v>
      </x:c>
      <x:c r="G97" s="1" t="str">
        <x:v>Probably Low</x:v>
      </x:c>
      <x:c r="H97" s="1" t="str">
        <x:v>Assessor blinding was not reported; CGM/laboratory outcomes involve minimal judgment.</x:v>
      </x:c>
      <x:c r="I97" s="1" t="str">
        <x:v>PDF pp2–5; Methods/Results</x:v>
      </x:c>
    </x:row>
    <x:row r="98" ht="34" customHeight="1">
      <x:c r="A98" s="1" t="str">
        <x:v>Sato_2011</x:v>
      </x:c>
      <x:c r="B98" s="1" t="str">
        <x:v>Sato_2011_primary</x:v>
      </x:c>
      <x:c r="C98" s="1" t="str">
        <x:v>Acute glucose AUC/iAUC and timed glucose/CGM outcomes</x:v>
      </x:c>
      <x:c r="D98" s="1" t="n">
        <x:v>6</x:v>
      </x:c>
      <x:c r="E98" s="1" t="str">
        <x:v>Outcome data not included in analysis</x:v>
      </x:c>
      <x:c r="F98" s="1" t="str">
        <x:v>0/10</x:v>
      </x:c>
      <x:c r="G98" s="1" t="str">
        <x:v>Definitely Low</x:v>
      </x:c>
      <x:c r="H98" s="1" t="str">
        <x:v>All 10 participants completed both chamber trials and were analyzed.</x:v>
      </x:c>
      <x:c r="I98" s="1" t="str">
        <x:v>PDF pp2–5; Methods/Results</x:v>
      </x:c>
    </x:row>
    <x:row r="99" ht="34" customHeight="1">
      <x:c r="A99" s="1" t="str">
        <x:v>Sato_2011</x:v>
      </x:c>
      <x:c r="B99" s="1" t="str">
        <x:v>Sato_2011_primary</x:v>
      </x:c>
      <x:c r="C99" s="1" t="str">
        <x:v>Acute glucose AUC/iAUC and timed glucose/CGM outcomes</x:v>
      </x:c>
      <x:c r="D99" s="1" t="n">
        <x:v>7</x:v>
      </x:c>
      <x:c r="E99" s="1" t="str">
        <x:v>Selective reporting (optional)</x:v>
      </x:c>
      <x:c r="F99" s="1" t="str">
        <x:v>Review-specific optional item</x:v>
      </x:c>
      <x:c r="G99" s="1" t="str">
        <x:v>Probably Low</x:v>
      </x:c>
      <x:c r="H99" s="1" t="str">
        <x:v>Glucose profiles and AUC were reported for both dinner timings; no prospective protocol/SAP was available.</x:v>
      </x:c>
      <x:c r="I99" s="1" t="str">
        <x:v>PDF pp2–5; Methods/Results</x:v>
      </x:c>
    </x:row>
    <x:row r="100" ht="34" customHeight="1">
      <x:c r="A100" s="1" t="str">
        <x:v>Service_1983</x:v>
      </x:c>
      <x:c r="B100" s="1" t="str">
        <x:v>Service_1983_primary</x:v>
      </x:c>
      <x:c r="C100" s="1" t="str">
        <x:v>Acute glucose AUC/iAUC and timed glucose/CGM outcomes</x:v>
      </x:c>
      <x:c r="D100" s="1" t="n">
        <x:v>1</x:v>
      </x:c>
      <x:c r="E100" s="1" t="str">
        <x:v>Random sequence generation</x:v>
      </x:c>
      <x:c r="F100" s="1" t="str">
        <x:v>Probably No</x:v>
      </x:c>
      <x:c r="G100" s="1" t="str">
        <x:v>Probably High</x:v>
      </x:c>
      <x:c r="H100" s="1" t="str">
        <x:v>Meal size/time sequence was described as randomized Latin square, but the random-generation method was not reported.</x:v>
      </x:c>
      <x:c r="I100" s="1" t="str">
        <x:v>PDF pp1–4; Methods/Results</x:v>
      </x:c>
    </x:row>
    <x:row r="101" ht="34" customHeight="1">
      <x:c r="A101" s="1" t="str">
        <x:v>Service_1983</x:v>
      </x:c>
      <x:c r="B101" s="1" t="str">
        <x:v>Service_1983_primary</x:v>
      </x:c>
      <x:c r="C101" s="1" t="str">
        <x:v>Acute glucose AUC/iAUC and timed glucose/CGM outcomes</x:v>
      </x:c>
      <x:c r="D101" s="1" t="n">
        <x:v>2</x:v>
      </x:c>
      <x:c r="E101" s="1" t="str">
        <x:v>Allocation concealment</x:v>
      </x:c>
      <x:c r="F101" s="1" t="str">
        <x:v>Probably No</x:v>
      </x:c>
      <x:c r="G101" s="1" t="str">
        <x:v>Probably High</x:v>
      </x:c>
      <x:c r="H101" s="1" t="str">
        <x:v>No allocation-concealment procedure was reported.</x:v>
      </x:c>
      <x:c r="I101" s="1" t="str">
        <x:v>PDF pp1–4; Methods/Results</x:v>
      </x:c>
    </x:row>
    <x:row r="102" ht="34" customHeight="1">
      <x:c r="A102" s="1" t="str">
        <x:v>Service_1983</x:v>
      </x:c>
      <x:c r="B102" s="1" t="str">
        <x:v>Service_1983_primary</x:v>
      </x:c>
      <x:c r="C102" s="1" t="str">
        <x:v>Acute glucose AUC/iAUC and timed glucose/CGM outcomes</x:v>
      </x:c>
      <x:c r="D102" s="1" t="n">
        <x:v>3</x:v>
      </x:c>
      <x:c r="E102" s="1" t="str">
        <x:v>Blinding of participants</x:v>
      </x:c>
      <x:c r="F102" s="1" t="str">
        <x:v>Probably No</x:v>
      </x:c>
      <x:c r="G102" s="1" t="str">
        <x:v>Probably Low</x:v>
      </x:c>
      <x:c r="H102" s="1" t="str">
        <x:v>Meal time/size were visible; controlled research-center meals and objective glucose limit expectation effects.</x:v>
      </x:c>
      <x:c r="I102" s="1" t="str">
        <x:v>PDF pp1–4; Methods/Results</x:v>
      </x:c>
    </x:row>
    <x:row r="103" ht="34" customHeight="1">
      <x:c r="A103" s="1" t="str">
        <x:v>Service_1983</x:v>
      </x:c>
      <x:c r="B103" s="1" t="str">
        <x:v>Service_1983_primary</x:v>
      </x:c>
      <x:c r="C103" s="1" t="str">
        <x:v>Acute glucose AUC/iAUC and timed glucose/CGM outcomes</x:v>
      </x:c>
      <x:c r="D103" s="1" t="n">
        <x:v>4</x:v>
      </x:c>
      <x:c r="E103" s="1" t="str">
        <x:v>Blinding of healthcare providers</x:v>
      </x:c>
      <x:c r="F103" s="1" t="str">
        <x:v>Probably No</x:v>
      </x:c>
      <x:c r="G103" s="1" t="str">
        <x:v>Probably Low</x:v>
      </x:c>
      <x:c r="H103" s="1" t="str">
        <x:v>Staff blinding was not reported; meal delivery and sampling were standardized.</x:v>
      </x:c>
      <x:c r="I103" s="1" t="str">
        <x:v>PDF pp1–4; Methods/Results</x:v>
      </x:c>
    </x:row>
    <x:row r="104" ht="34" customHeight="1">
      <x:c r="A104" s="1" t="str">
        <x:v>Service_1983</x:v>
      </x:c>
      <x:c r="B104" s="1" t="str">
        <x:v>Service_1983_primary</x:v>
      </x:c>
      <x:c r="C104" s="1" t="str">
        <x:v>Acute glucose AUC/iAUC and timed glucose/CGM outcomes</x:v>
      </x:c>
      <x:c r="D104" s="1" t="n">
        <x:v>5</x:v>
      </x:c>
      <x:c r="E104" s="1" t="str">
        <x:v>Blinding of outcome assessors</x:v>
      </x:c>
      <x:c r="F104" s="1" t="str">
        <x:v>Probably No</x:v>
      </x:c>
      <x:c r="G104" s="1" t="str">
        <x:v>Probably Low</x:v>
      </x:c>
      <x:c r="H104" s="1" t="str">
        <x:v>Assessor blinding was not reported; laboratory glucose measurement involves minimal judgment.</x:v>
      </x:c>
      <x:c r="I104" s="1" t="str">
        <x:v>PDF pp1–4; Methods/Results</x:v>
      </x:c>
    </x:row>
    <x:row r="105" ht="34" customHeight="1">
      <x:c r="A105" s="1" t="str">
        <x:v>Service_1983</x:v>
      </x:c>
      <x:c r="B105" s="1" t="str">
        <x:v>Service_1983_primary</x:v>
      </x:c>
      <x:c r="C105" s="1" t="str">
        <x:v>Acute glucose AUC/iAUC and timed glucose/CGM outcomes</x:v>
      </x:c>
      <x:c r="D105" s="1" t="n">
        <x:v>6</x:v>
      </x:c>
      <x:c r="E105" s="1" t="str">
        <x:v>Outcome data not included in analysis</x:v>
      </x:c>
      <x:c r="F105" s="1" t="str">
        <x:v>0/6</x:v>
      </x:c>
      <x:c r="G105" s="1" t="str">
        <x:v>Definitely Low</x:v>
      </x:c>
      <x:c r="H105" s="1" t="str">
        <x:v>All six randomized participants completed the three experimental days and contributed outcome data.</x:v>
      </x:c>
      <x:c r="I105" s="1" t="str">
        <x:v>PDF pp1–4; Methods/Results</x:v>
      </x:c>
    </x:row>
    <x:row r="106" ht="34" customHeight="1">
      <x:c r="A106" s="1" t="str">
        <x:v>Service_1983</x:v>
      </x:c>
      <x:c r="B106" s="1" t="str">
        <x:v>Service_1983_primary</x:v>
      </x:c>
      <x:c r="C106" s="1" t="str">
        <x:v>Acute glucose AUC/iAUC and timed glucose/CGM outcomes</x:v>
      </x:c>
      <x:c r="D106" s="1" t="n">
        <x:v>7</x:v>
      </x:c>
      <x:c r="E106" s="1" t="str">
        <x:v>Selective reporting (optional)</x:v>
      </x:c>
      <x:c r="F106" s="1" t="str">
        <x:v>Review-specific optional item</x:v>
      </x:c>
      <x:c r="G106" s="1" t="str">
        <x:v>Probably Low</x:v>
      </x:c>
      <x:c r="H106" s="1" t="str">
        <x:v>Results were reported across meal sizes/times, though some numerical values were figure-only and no protocol/SAP was available.</x:v>
      </x:c>
      <x:c r="I106" s="1" t="str">
        <x:v>PDF pp1–4; Methods/Results</x:v>
      </x:c>
    </x:row>
    <x:row r="107" ht="34" customHeight="1">
      <x:c r="A107" s="1" t="str">
        <x:v>Stutz_2024</x:v>
      </x:c>
      <x:c r="B107" s="1" t="str">
        <x:v>Stutz_2024_primary</x:v>
      </x:c>
      <x:c r="C107" s="1" t="str">
        <x:v>Acute glucose AUC/iAUC and timed glucose/CGM outcomes</x:v>
      </x:c>
      <x:c r="D107" s="1" t="n">
        <x:v>1</x:v>
      </x:c>
      <x:c r="E107" s="1" t="str">
        <x:v>Random sequence generation</x:v>
      </x:c>
      <x:c r="F107" s="1" t="str">
        <x:v>Probably No</x:v>
      </x:c>
      <x:c r="G107" s="1" t="str">
        <x:v>Probably High</x:v>
      </x:c>
      <x:c r="H107" s="1" t="str">
        <x:v>Participants were randomized to morning/evening order, but the sequence-generation method was not reported.</x:v>
      </x:c>
      <x:c r="I107" s="1" t="str">
        <x:v>PDF pp3–7; Figure 1/Table 2; NCT04298645</x:v>
      </x:c>
    </x:row>
    <x:row r="108" ht="34" customHeight="1">
      <x:c r="A108" s="1" t="str">
        <x:v>Stutz_2024</x:v>
      </x:c>
      <x:c r="B108" s="1" t="str">
        <x:v>Stutz_2024_primary</x:v>
      </x:c>
      <x:c r="C108" s="1" t="str">
        <x:v>Acute glucose AUC/iAUC and timed glucose/CGM outcomes</x:v>
      </x:c>
      <x:c r="D108" s="1" t="n">
        <x:v>2</x:v>
      </x:c>
      <x:c r="E108" s="1" t="str">
        <x:v>Allocation concealment</x:v>
      </x:c>
      <x:c r="F108" s="1" t="str">
        <x:v>Probably No</x:v>
      </x:c>
      <x:c r="G108" s="1" t="str">
        <x:v>Probably High</x:v>
      </x:c>
      <x:c r="H108" s="1" t="str">
        <x:v>No allocation-concealment procedure was reported.</x:v>
      </x:c>
      <x:c r="I108" s="1" t="str">
        <x:v>PDF pp3–7; Figure 1/Table 2; NCT04298645</x:v>
      </x:c>
    </x:row>
    <x:row r="109" ht="34" customHeight="1">
      <x:c r="A109" s="1" t="str">
        <x:v>Stutz_2024</x:v>
      </x:c>
      <x:c r="B109" s="1" t="str">
        <x:v>Stutz_2024_primary</x:v>
      </x:c>
      <x:c r="C109" s="1" t="str">
        <x:v>Acute glucose AUC/iAUC and timed glucose/CGM outcomes</x:v>
      </x:c>
      <x:c r="D109" s="1" t="n">
        <x:v>3</x:v>
      </x:c>
      <x:c r="E109" s="1" t="str">
        <x:v>Blinding of participants</x:v>
      </x:c>
      <x:c r="F109" s="1" t="str">
        <x:v>Probably No</x:v>
      </x:c>
      <x:c r="G109" s="1" t="str">
        <x:v>Probably Low</x:v>
      </x:c>
      <x:c r="H109" s="1" t="str">
        <x:v>Meal timing was visible; standardized meals, run-in days, and CGM reduce but do not eliminate behavior effects.</x:v>
      </x:c>
      <x:c r="I109" s="1" t="str">
        <x:v>PDF pp3–7; Figure 1/Table 2; NCT04298645</x:v>
      </x:c>
    </x:row>
    <x:row r="110" ht="34" customHeight="1">
      <x:c r="A110" s="1" t="str">
        <x:v>Stutz_2024</x:v>
      </x:c>
      <x:c r="B110" s="1" t="str">
        <x:v>Stutz_2024_primary</x:v>
      </x:c>
      <x:c r="C110" s="1" t="str">
        <x:v>Acute glucose AUC/iAUC and timed glucose/CGM outcomes</x:v>
      </x:c>
      <x:c r="D110" s="1" t="n">
        <x:v>4</x:v>
      </x:c>
      <x:c r="E110" s="1" t="str">
        <x:v>Blinding of healthcare providers</x:v>
      </x:c>
      <x:c r="F110" s="1" t="str">
        <x:v>Probably No</x:v>
      </x:c>
      <x:c r="G110" s="1" t="str">
        <x:v>Probably Low</x:v>
      </x:c>
      <x:c r="H110" s="1" t="str">
        <x:v>Staff blinding was not reported; meal provision and monitoring were standardized.</x:v>
      </x:c>
      <x:c r="I110" s="1" t="str">
        <x:v>PDF pp3–7; Figure 1/Table 2; NCT04298645</x:v>
      </x:c>
    </x:row>
    <x:row r="111" ht="34" customHeight="1">
      <x:c r="A111" s="1" t="str">
        <x:v>Stutz_2024</x:v>
      </x:c>
      <x:c r="B111" s="1" t="str">
        <x:v>Stutz_2024_primary</x:v>
      </x:c>
      <x:c r="C111" s="1" t="str">
        <x:v>Acute glucose AUC/iAUC and timed glucose/CGM outcomes</x:v>
      </x:c>
      <x:c r="D111" s="1" t="n">
        <x:v>5</x:v>
      </x:c>
      <x:c r="E111" s="1" t="str">
        <x:v>Blinding of outcome assessors</x:v>
      </x:c>
      <x:c r="F111" s="1" t="str">
        <x:v>Probably No</x:v>
      </x:c>
      <x:c r="G111" s="1" t="str">
        <x:v>Probably Low</x:v>
      </x:c>
      <x:c r="H111" s="1" t="str">
        <x:v>Assessor blinding was not reported; CGM-derived outcomes involve minimal judgment.</x:v>
      </x:c>
      <x:c r="I111" s="1" t="str">
        <x:v>PDF pp3–7; Figure 1/Table 2; NCT04298645</x:v>
      </x:c>
    </x:row>
    <x:row r="112" ht="34" customHeight="1">
      <x:c r="A112" s="1" t="str">
        <x:v>Stutz_2024</x:v>
      </x:c>
      <x:c r="B112" s="1" t="str">
        <x:v>Stutz_2024_primary</x:v>
      </x:c>
      <x:c r="C112" s="1" t="str">
        <x:v>Acute glucose AUC/iAUC and timed glucose/CGM outcomes</x:v>
      </x:c>
      <x:c r="D112" s="1" t="n">
        <x:v>6</x:v>
      </x:c>
      <x:c r="E112" s="1" t="str">
        <x:v>Outcome data not included in analysis</x:v>
      </x:c>
      <x:c r="F112" s="1" t="str">
        <x:v>15/60</x:v>
      </x:c>
      <x:c r="G112" s="1" t="str">
        <x:v>Definitely High</x:v>
      </x:c>
      <x:c r="H112" s="1" t="str">
        <x:v>Sixty were randomized; 46 completed and one additional participant was excluded from analysis, leaving 45 analyzed (25.0% not analyzed).</x:v>
      </x:c>
      <x:c r="I112" s="1" t="str">
        <x:v>PDF pp3–7; Figure 1/Table 2; NCT04298645</x:v>
      </x:c>
    </x:row>
    <x:row r="113" ht="34" customHeight="1">
      <x:c r="A113" s="1" t="str">
        <x:v>Stutz_2024</x:v>
      </x:c>
      <x:c r="B113" s="1" t="str">
        <x:v>Stutz_2024_primary</x:v>
      </x:c>
      <x:c r="C113" s="1" t="str">
        <x:v>Acute glucose AUC/iAUC and timed glucose/CGM outcomes</x:v>
      </x:c>
      <x:c r="D113" s="1" t="n">
        <x:v>7</x:v>
      </x:c>
      <x:c r="E113" s="1" t="str">
        <x:v>Selective reporting (optional)</x:v>
      </x:c>
      <x:c r="F113" s="1" t="str">
        <x:v>Review-specific optional item</x:v>
      </x:c>
      <x:c r="G113" s="1" t="str">
        <x:v>Definitely Low</x:v>
      </x:c>
      <x:c r="H113" s="1" t="str">
        <x:v>Prospectively registered (NCT04298645); 2-h postprandial and 24-h glycemic outcomes were stated and reported.</x:v>
      </x:c>
      <x:c r="I113" s="1" t="str">
        <x:v>PDF pp3–7; Figure 1/Table 2; NCT04298645</x:v>
      </x:c>
    </x:row>
    <x:row r="114" ht="34" customHeight="1">
      <x:c r="A114" s="1" t="str">
        <x:v>Sulaimani_2025</x:v>
      </x:c>
      <x:c r="B114" s="1" t="str">
        <x:v>Sulaimani_2025_primary</x:v>
      </x:c>
      <x:c r="C114" s="1" t="str">
        <x:v>Acute glucose AUC/iAUC and timed glucose/CGM outcomes</x:v>
      </x:c>
      <x:c r="D114" s="1" t="n">
        <x:v>1</x:v>
      </x:c>
      <x:c r="E114" s="1" t="str">
        <x:v>Random sequence generation</x:v>
      </x:c>
      <x:c r="F114" s="1" t="str">
        <x:v>Definitely Yes</x:v>
      </x:c>
      <x:c r="G114" s="1" t="str">
        <x:v>Definitely Low</x:v>
      </x:c>
      <x:c r="H114" s="1" t="str">
        <x:v>A computer-generated random sequence allocated the four conditions.</x:v>
      </x:c>
      <x:c r="I114" s="1" t="str">
        <x:v>PDF pp3–7; ACTRN registration</x:v>
      </x:c>
    </x:row>
    <x:row r="115" ht="34" customHeight="1">
      <x:c r="A115" s="1" t="str">
        <x:v>Sulaimani_2025</x:v>
      </x:c>
      <x:c r="B115" s="1" t="str">
        <x:v>Sulaimani_2025_primary</x:v>
      </x:c>
      <x:c r="C115" s="1" t="str">
        <x:v>Acute glucose AUC/iAUC and timed glucose/CGM outcomes</x:v>
      </x:c>
      <x:c r="D115" s="1" t="n">
        <x:v>2</x:v>
      </x:c>
      <x:c r="E115" s="1" t="str">
        <x:v>Allocation concealment</x:v>
      </x:c>
      <x:c r="F115" s="1" t="str">
        <x:v>Probably Yes</x:v>
      </x:c>
      <x:c r="G115" s="1" t="str">
        <x:v>Probably Low</x:v>
      </x:c>
      <x:c r="H115" s="1" t="str">
        <x:v>Coded, visually matched meals concealed intervention identity; concealment of the full timing sequence before assignment was not fully described.</x:v>
      </x:c>
      <x:c r="I115" s="1" t="str">
        <x:v>PDF pp3–7; ACTRN registration</x:v>
      </x:c>
    </x:row>
    <x:row r="116" ht="34" customHeight="1">
      <x:c r="A116" s="1" t="str">
        <x:v>Sulaimani_2025</x:v>
      </x:c>
      <x:c r="B116" s="1" t="str">
        <x:v>Sulaimani_2025_primary</x:v>
      </x:c>
      <x:c r="C116" s="1" t="str">
        <x:v>Acute glucose AUC/iAUC and timed glucose/CGM outcomes</x:v>
      </x:c>
      <x:c r="D116" s="1" t="n">
        <x:v>3</x:v>
      </x:c>
      <x:c r="E116" s="1" t="str">
        <x:v>Blinding of participants</x:v>
      </x:c>
      <x:c r="F116" s="1" t="str">
        <x:v>Probably No</x:v>
      </x:c>
      <x:c r="G116" s="1" t="str">
        <x:v>Probably Low</x:v>
      </x:c>
      <x:c r="H116" s="1" t="str">
        <x:v>Participants were blinded to GTE versus control but necessarily knew morning/evening timing; objective glucose and controlled visits limit influence.</x:v>
      </x:c>
      <x:c r="I116" s="1" t="str">
        <x:v>PDF pp3–7; ACTRN registration</x:v>
      </x:c>
    </x:row>
    <x:row r="117" ht="34" customHeight="1">
      <x:c r="A117" s="1" t="str">
        <x:v>Sulaimani_2025</x:v>
      </x:c>
      <x:c r="B117" s="1" t="str">
        <x:v>Sulaimani_2025_primary</x:v>
      </x:c>
      <x:c r="C117" s="1" t="str">
        <x:v>Acute glucose AUC/iAUC and timed glucose/CGM outcomes</x:v>
      </x:c>
      <x:c r="D117" s="1" t="n">
        <x:v>4</x:v>
      </x:c>
      <x:c r="E117" s="1" t="str">
        <x:v>Blinding of healthcare providers</x:v>
      </x:c>
      <x:c r="F117" s="1" t="str">
        <x:v>Probably No</x:v>
      </x:c>
      <x:c r="G117" s="1" t="str">
        <x:v>Probably Low</x:v>
      </x:c>
      <x:c r="H117" s="1" t="str">
        <x:v>Researchers were blinded to meal identity but not clock time; procedures were standardized.</x:v>
      </x:c>
      <x:c r="I117" s="1" t="str">
        <x:v>PDF pp3–7; ACTRN registration</x:v>
      </x:c>
    </x:row>
    <x:row r="118" ht="34" customHeight="1">
      <x:c r="A118" s="1" t="str">
        <x:v>Sulaimani_2025</x:v>
      </x:c>
      <x:c r="B118" s="1" t="str">
        <x:v>Sulaimani_2025_primary</x:v>
      </x:c>
      <x:c r="C118" s="1" t="str">
        <x:v>Acute glucose AUC/iAUC and timed glucose/CGM outcomes</x:v>
      </x:c>
      <x:c r="D118" s="1" t="n">
        <x:v>5</x:v>
      </x:c>
      <x:c r="E118" s="1" t="str">
        <x:v>Blinding of outcome assessors</x:v>
      </x:c>
      <x:c r="F118" s="1" t="str">
        <x:v>Definitely Yes</x:v>
      </x:c>
      <x:c r="G118" s="1" t="str">
        <x:v>Definitely Low</x:v>
      </x:c>
      <x:c r="H118" s="1" t="str">
        <x:v>Data analysts and sample identities were explicitly blinded using letter and participant codes.</x:v>
      </x:c>
      <x:c r="I118" s="1" t="str">
        <x:v>PDF pp3–7; ACTRN registration</x:v>
      </x:c>
    </x:row>
    <x:row r="119" ht="34" customHeight="1">
      <x:c r="A119" s="1" t="str">
        <x:v>Sulaimani_2025</x:v>
      </x:c>
      <x:c r="B119" s="1" t="str">
        <x:v>Sulaimani_2025_primary</x:v>
      </x:c>
      <x:c r="C119" s="1" t="str">
        <x:v>Acute glucose AUC/iAUC and timed glucose/CGM outcomes</x:v>
      </x:c>
      <x:c r="D119" s="1" t="n">
        <x:v>6</x:v>
      </x:c>
      <x:c r="E119" s="1" t="str">
        <x:v>Outcome data not included in analysis</x:v>
      </x:c>
      <x:c r="F119" s="1" t="str">
        <x:v>0/14</x:v>
      </x:c>
      <x:c r="G119" s="1" t="str">
        <x:v>Definitely Low</x:v>
      </x:c>
      <x:c r="H119" s="1" t="str">
        <x:v>All 14 participants completed all four conditions and were analyzed.</x:v>
      </x:c>
      <x:c r="I119" s="1" t="str">
        <x:v>PDF pp3–7; ACTRN registration</x:v>
      </x:c>
    </x:row>
    <x:row r="120" ht="34" customHeight="1">
      <x:c r="A120" s="1" t="str">
        <x:v>Sulaimani_2025</x:v>
      </x:c>
      <x:c r="B120" s="1" t="str">
        <x:v>Sulaimani_2025_primary</x:v>
      </x:c>
      <x:c r="C120" s="1" t="str">
        <x:v>Acute glucose AUC/iAUC and timed glucose/CGM outcomes</x:v>
      </x:c>
      <x:c r="D120" s="1" t="n">
        <x:v>7</x:v>
      </x:c>
      <x:c r="E120" s="1" t="str">
        <x:v>Selective reporting (optional)</x:v>
      </x:c>
      <x:c r="F120" s="1" t="str">
        <x:v>Review-specific optional item</x:v>
      </x:c>
      <x:c r="G120" s="1" t="str">
        <x:v>Definitely Low</x:v>
      </x:c>
      <x:c r="H120" s="1" t="str">
        <x:v>Prospectively registered; glucose and insulin iAUC were specified as primary outcomes and reported for all four conditions.</x:v>
      </x:c>
      <x:c r="I120" s="1" t="str">
        <x:v>PDF pp3–7; ACTRN registration</x:v>
      </x:c>
    </x:row>
  </x:sheetData>
  <x:conditionalFormatting sqref="G2:G127">
    <x:cfRule type="expression" dxfId="11" priority="1">
      <x:formula>G2="Definitely Low"</x:formula>
    </x:cfRule>
    <x:cfRule type="expression" dxfId="10" priority="2">
      <x:formula>G2="Probably Low"</x:formula>
    </x:cfRule>
    <x:cfRule type="expression" dxfId="9" priority="3">
      <x:formula>G2="Probably High"</x:formula>
    </x:cfRule>
    <x:cfRule type="expression" dxfId="8" priority="4">
      <x:formula>G2="Definitely 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c67c9a239a42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22" customWidth="1"/>
    <x:col min="3" max="9" width="18" customWidth="1"/>
  </x:cols>
  <x:sheetData>
    <x:row r="1" ht="34" customHeight="1">
      <x:c r="A1" s="8" t="str">
        <x:v>Risk judgment</x:v>
      </x:c>
      <x:c r="B1" s="8" t="str">
        <x:v>Item 1</x:v>
      </x:c>
      <x:c r="C1" s="8" t="str">
        <x:v>Item 2</x:v>
      </x:c>
      <x:c r="D1" s="8" t="str">
        <x:v>Item 3</x:v>
      </x:c>
      <x:c r="E1" s="8" t="str">
        <x:v>Item 4</x:v>
      </x:c>
      <x:c r="F1" s="8" t="str">
        <x:v>Item 5</x:v>
      </x:c>
      <x:c r="G1" s="8" t="str">
        <x:v>Item 6</x:v>
      </x:c>
      <x:c r="H1" s="8" t="str">
        <x:v>Optional item 7</x:v>
      </x:c>
      <x:c r="I1" s="8" t="str">
        <x:v>Highest core item*</x:v>
      </x:c>
    </x:row>
    <x:row r="2">
      <x:c r="A2" s="5" t="str">
        <x:v>Definitely Low</x:v>
      </x:c>
      <x:c r="B2" s="6" t="n">
        <x:f>COUNTIFS(Assessments!$D$2:$D$120,1,Assessments!$G$2:$G$120,$A2)</x:f>
        <x:v>6</x:v>
      </x:c>
      <x:c r="C2" s="6" t="n">
        <x:f>COUNTIFS(Assessments!$D$2:$D$120,2,Assessments!$G$2:$G$120,$A2)</x:f>
        <x:v>2</x:v>
      </x:c>
      <x:c r="D2" s="6" t="n">
        <x:f>COUNTIFS(Assessments!$D$2:$D$120,3,Assessments!$G$2:$G$120,$A2)</x:f>
        <x:v>0</x:v>
      </x:c>
      <x:c r="E2" s="6" t="n">
        <x:f>COUNTIFS(Assessments!$D$2:$D$120,4,Assessments!$G$2:$G$120,$A2)</x:f>
        <x:v>0</x:v>
      </x:c>
      <x:c r="F2" s="6" t="n">
        <x:f>COUNTIFS(Assessments!$D$2:$D$120,5,Assessments!$G$2:$G$120,$A2)</x:f>
        <x:v>2</x:v>
      </x:c>
      <x:c r="G2" s="6" t="n">
        <x:f>COUNTIFS(Assessments!$D$2:$D$120,6,Assessments!$G$2:$G$120,$A2)</x:f>
        <x:v>12</x:v>
      </x:c>
      <x:c r="H2" s="6" t="n">
        <x:f>COUNTIFS(Assessments!$D$2:$D$120,7,Assessments!$G$2:$G$120,$A2)</x:f>
        <x:v>3</x:v>
      </x:c>
      <x:c r="I2" s="6" t="n">
        <x:f>COUNTIFS($B$10:$B$26,$A2)</x:f>
        <x:v>0</x:v>
      </x:c>
    </x:row>
    <x:row r="3">
      <x:c r="A3" s="5" t="str">
        <x:v>Probably Low</x:v>
      </x:c>
      <x:c r="B3" s="6" t="n">
        <x:f>COUNTIFS(Assessments!$D$2:$D$120,1,Assessments!$G$2:$G$120,$A3)</x:f>
        <x:v>2</x:v>
      </x:c>
      <x:c r="C3" s="6" t="n">
        <x:f>COUNTIFS(Assessments!$D$2:$D$120,2,Assessments!$G$2:$G$120,$A3)</x:f>
        <x:v>1</x:v>
      </x:c>
      <x:c r="D3" s="6" t="n">
        <x:f>COUNTIFS(Assessments!$D$2:$D$120,3,Assessments!$G$2:$G$120,$A3)</x:f>
        <x:v>15</x:v>
      </x:c>
      <x:c r="E3" s="6" t="n">
        <x:f>COUNTIFS(Assessments!$D$2:$D$120,4,Assessments!$G$2:$G$120,$A3)</x:f>
        <x:v>17</x:v>
      </x:c>
      <x:c r="F3" s="6" t="n">
        <x:f>COUNTIFS(Assessments!$D$2:$D$120,5,Assessments!$G$2:$G$120,$A3)</x:f>
        <x:v>15</x:v>
      </x:c>
      <x:c r="G3" s="6" t="n">
        <x:f>COUNTIFS(Assessments!$D$2:$D$120,6,Assessments!$G$2:$G$120,$A3)</x:f>
        <x:v>0</x:v>
      </x:c>
      <x:c r="H3" s="6" t="n">
        <x:f>COUNTIFS(Assessments!$D$2:$D$120,7,Assessments!$G$2:$G$120,$A3)</x:f>
        <x:v>13</x:v>
      </x:c>
      <x:c r="I3" s="6" t="n">
        <x:f>COUNTIFS($B$10:$B$26,$A3)</x:f>
        <x:v>1</x:v>
      </x:c>
    </x:row>
    <x:row r="4">
      <x:c r="A4" s="5" t="str">
        <x:v>Probably High</x:v>
      </x:c>
      <x:c r="B4" s="6" t="n">
        <x:f>COUNTIFS(Assessments!$D$2:$D$120,1,Assessments!$G$2:$G$120,$A4)</x:f>
        <x:v>9</x:v>
      </x:c>
      <x:c r="C4" s="6" t="n">
        <x:f>COUNTIFS(Assessments!$D$2:$D$120,2,Assessments!$G$2:$G$120,$A4)</x:f>
        <x:v>14</x:v>
      </x:c>
      <x:c r="D4" s="6" t="n">
        <x:f>COUNTIFS(Assessments!$D$2:$D$120,3,Assessments!$G$2:$G$120,$A4)</x:f>
        <x:v>2</x:v>
      </x:c>
      <x:c r="E4" s="6" t="n">
        <x:f>COUNTIFS(Assessments!$D$2:$D$120,4,Assessments!$G$2:$G$120,$A4)</x:f>
        <x:v>0</x:v>
      </x:c>
      <x:c r="F4" s="6" t="n">
        <x:f>COUNTIFS(Assessments!$D$2:$D$120,5,Assessments!$G$2:$G$120,$A4)</x:f>
        <x:v>0</x:v>
      </x:c>
      <x:c r="G4" s="6" t="n">
        <x:f>COUNTIFS(Assessments!$D$2:$D$120,6,Assessments!$G$2:$G$120,$A4)</x:f>
        <x:v>1</x:v>
      </x:c>
      <x:c r="H4" s="6" t="n">
        <x:f>COUNTIFS(Assessments!$D$2:$D$120,7,Assessments!$G$2:$G$120,$A4)</x:f>
        <x:v>1</x:v>
      </x:c>
      <x:c r="I4" s="6" t="n">
        <x:f>COUNTIFS($B$10:$B$26,$A4)</x:f>
        <x:v>12</x:v>
      </x:c>
    </x:row>
    <x:row r="5">
      <x:c r="A5" s="5" t="str">
        <x:v>Definitely High</x:v>
      </x:c>
      <x:c r="B5" s="6" t="n">
        <x:f>COUNTIFS(Assessments!$D$2:$D$120,1,Assessments!$G$2:$G$120,$A5)</x:f>
        <x:v>0</x:v>
      </x:c>
      <x:c r="C5" s="6" t="n">
        <x:f>COUNTIFS(Assessments!$D$2:$D$120,2,Assessments!$G$2:$G$120,$A5)</x:f>
        <x:v>0</x:v>
      </x:c>
      <x:c r="D5" s="6" t="n">
        <x:f>COUNTIFS(Assessments!$D$2:$D$120,3,Assessments!$G$2:$G$120,$A5)</x:f>
        <x:v>0</x:v>
      </x:c>
      <x:c r="E5" s="6" t="n">
        <x:f>COUNTIFS(Assessments!$D$2:$D$120,4,Assessments!$G$2:$G$120,$A5)</x:f>
        <x:v>0</x:v>
      </x:c>
      <x:c r="F5" s="6" t="n">
        <x:f>COUNTIFS(Assessments!$D$2:$D$120,5,Assessments!$G$2:$G$120,$A5)</x:f>
        <x:v>0</x:v>
      </x:c>
      <x:c r="G5" s="6" t="n">
        <x:f>COUNTIFS(Assessments!$D$2:$D$120,6,Assessments!$G$2:$G$120,$A5)</x:f>
        <x:v>4</x:v>
      </x:c>
      <x:c r="H5" s="6" t="n">
        <x:f>COUNTIFS(Assessments!$D$2:$D$120,7,Assessments!$G$2:$G$120,$A5)</x:f>
        <x:v>0</x:v>
      </x:c>
      <x:c r="I5" s="6" t="n">
        <x:f>COUNTIFS($B$10:$B$26,$A5)</x:f>
        <x:v>4</x:v>
      </x:c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>
      <x:c r="A7" s="11" t="str">
        <x:v>*Highest core item is a review-defined summary. ROBUST-RCT does not include overall judgment.</x:v>
      </x:c>
      <x:c r="B7" s="11"/>
      <x:c r="C7" s="11"/>
      <x:c r="D7" s="11"/>
      <x:c r="E7" s="11"/>
      <x:c r="F7" s="11"/>
      <x:c r="G7" s="11"/>
      <x:c r="H7" s="11"/>
      <x:c r="I7" s="11"/>
    </x:row>
    <x:row r="8">
      <x:c r="A8" s="3"/>
      <x:c r="B8" s="3"/>
      <x:c r="C8" s="3"/>
      <x:c r="D8" s="3"/>
      <x:c r="E8" s="3"/>
      <x:c r="F8" s="3"/>
      <x:c r="G8" s="3"/>
      <x:c r="H8" s="3"/>
      <x:c r="I8" s="3"/>
    </x:row>
    <x:row r="9">
      <x:c r="A9" s="7" t="str">
        <x:v>Study</x:v>
      </x:c>
      <x:c r="B9" s="7" t="str">
        <x:v>Highest core item</x:v>
      </x:c>
      <x:c r="C9" s="7" t="str">
        <x:v>Sensitivity flag</x:v>
      </x:c>
      <x:c r="D9" s="3"/>
      <x:c r="E9" s="3"/>
      <x:c r="F9" s="3"/>
      <x:c r="G9" s="3"/>
      <x:c r="H9" s="3"/>
      <x:c r="I9" s="3"/>
    </x:row>
    <x:row r="10" ht="42">
      <x:c r="A10" s="4" t="str">
        <x:v>Bandin_2015</x:v>
      </x:c>
      <x:c r="B10" s="10" t="str">
        <x:f>IF(AND(COUNTIFS(Assessments!$A$2:$A$120,$A10,Assessments!$D$2:$D$120,1)=1,COUNTIFS(Assessments!$A$2:$A$120,$A10,Assessments!$D$2:$D$120,2)=1,COUNTIFS(Assessments!$A$2:$A$120,$A10,Assessments!$D$2:$D$120,3)=1,COUNTIFS(Assessments!$A$2:$A$120,$A10,Assessments!$D$2:$D$120,4)=1,COUNTIFS(Assessments!$A$2:$A$120,$A10,Assessments!$D$2:$D$120,5)=1,COUNTIFS(Assessments!$A$2:$A$120,$A10,Assessments!$D$2:$D$120,6)=1,COUNTIFS(Assessments!$A$2:$A$120,$A10,Assessments!$D$2:$D$120,"&gt;=1",Assessments!$D$2:$D$120,"&lt;=6",Assessments!$G$2:$G$120,$A$2)+COUNTIFS(Assessments!$A$2:$A$120,$A10,Assessments!$D$2:$D$120,"&gt;=1",Assessments!$D$2:$D$120,"&lt;=6",Assessments!$G$2:$G$120,$A$3)+COUNTIFS(Assessments!$A$2:$A$120,$A10,Assessments!$D$2:$D$120,"&gt;=1",Assessments!$D$2:$D$120,"&lt;=6",Assessments!$G$2:$G$120,$A$4)+COUNTIFS(Assessments!$A$2:$A$120,$A10,Assessments!$D$2:$D$120,"&gt;=1",Assessments!$D$2:$D$120,"&lt;=6",Assessments!$G$2:$G$120,$A$5)=6),IF(COUNTIFS(Assessments!$A$2:$A$120,$A10,Assessments!$D$2:$D$120,"&gt;=1",Assessments!$D$2:$D$120,"&lt;=6",Assessments!$G$2:$G$120,$A$5)&gt;0,$A$5,IF(COUNTIFS(Assessments!$A$2:$A$120,$A10,Assessments!$D$2:$D$120,"&gt;=1",Assessments!$D$2:$D$120,"&lt;=6",Assessments!$G$2:$G$120,$A$4)&gt;0,$A$4,IF(COUNTIFS(Assessments!$A$2:$A$120,$A10,Assessments!$D$2:$D$120,"&gt;=1",Assessments!$D$2:$D$120,"&lt;=6",Assessments!$G$2:$G$120,$A$3)&gt;0,$A$3,$A$2))),"Check assessments")</x:f>
        <x:v>Probably High</x:v>
      </x:c>
      <x:c r="C10" s="4" t="str">
        <x:v>Sequence concealment uncertainty</x:v>
      </x:c>
      <x:c r="D10" s="3"/>
      <x:c r="E10" s="3"/>
      <x:c r="F10" s="3"/>
      <x:c r="G10" s="3"/>
      <x:c r="H10" s="3"/>
      <x:c r="I10" s="3"/>
    </x:row>
    <x:row r="11" ht="42">
      <x:c r="A11" s="4" t="str">
        <x:v>Bo_2015</x:v>
      </x:c>
      <x:c r="B11" s="10" t="str">
        <x:f>IF(AND(COUNTIFS(Assessments!$A$2:$A$120,$A11,Assessments!$D$2:$D$120,1)=1,COUNTIFS(Assessments!$A$2:$A$120,$A11,Assessments!$D$2:$D$120,2)=1,COUNTIFS(Assessments!$A$2:$A$120,$A11,Assessments!$D$2:$D$120,3)=1,COUNTIFS(Assessments!$A$2:$A$120,$A11,Assessments!$D$2:$D$120,4)=1,COUNTIFS(Assessments!$A$2:$A$120,$A11,Assessments!$D$2:$D$120,5)=1,COUNTIFS(Assessments!$A$2:$A$120,$A11,Assessments!$D$2:$D$120,6)=1,COUNTIFS(Assessments!$A$2:$A$120,$A11,Assessments!$D$2:$D$120,"&gt;=1",Assessments!$D$2:$D$120,"&lt;=6",Assessments!$G$2:$G$120,$A$2)+COUNTIFS(Assessments!$A$2:$A$120,$A11,Assessments!$D$2:$D$120,"&gt;=1",Assessments!$D$2:$D$120,"&lt;=6",Assessments!$G$2:$G$120,$A$3)+COUNTIFS(Assessments!$A$2:$A$120,$A11,Assessments!$D$2:$D$120,"&gt;=1",Assessments!$D$2:$D$120,"&lt;=6",Assessments!$G$2:$G$120,$A$4)+COUNTIFS(Assessments!$A$2:$A$120,$A11,Assessments!$D$2:$D$120,"&gt;=1",Assessments!$D$2:$D$120,"&lt;=6",Assessments!$G$2:$G$120,$A$5)=6),IF(COUNTIFS(Assessments!$A$2:$A$120,$A11,Assessments!$D$2:$D$120,"&gt;=1",Assessments!$D$2:$D$120,"&lt;=6",Assessments!$G$2:$G$120,$A$5)&gt;0,$A$5,IF(COUNTIFS(Assessments!$A$2:$A$120,$A11,Assessments!$D$2:$D$120,"&gt;=1",Assessments!$D$2:$D$120,"&lt;=6",Assessments!$G$2:$G$120,$A$4)&gt;0,$A$4,IF(COUNTIFS(Assessments!$A$2:$A$120,$A11,Assessments!$D$2:$D$120,"&gt;=1",Assessments!$D$2:$D$120,"&lt;=6",Assessments!$G$2:$G$120,$A$3)&gt;0,$A$3,$A$2))),"Check assessments")</x:f>
        <x:v>Probably High</x:v>
      </x:c>
      <x:c r="C11" s="4" t="str">
        <x:v>Sequence concealment uncertainty</x:v>
      </x:c>
      <x:c r="D11" s="3"/>
      <x:c r="E11" s="3"/>
      <x:c r="F11" s="3"/>
      <x:c r="G11" s="3"/>
      <x:c r="H11" s="3"/>
      <x:c r="I11" s="3"/>
    </x:row>
    <x:row r="12" ht="42">
      <x:c r="A12" s="4" t="str">
        <x:v>Bravo_Garcia_2024</x:v>
      </x:c>
      <x:c r="B12" s="10" t="str">
        <x:f>IF(AND(COUNTIFS(Assessments!$A$2:$A$120,$A12,Assessments!$D$2:$D$120,1)=1,COUNTIFS(Assessments!$A$2:$A$120,$A12,Assessments!$D$2:$D$120,2)=1,COUNTIFS(Assessments!$A$2:$A$120,$A12,Assessments!$D$2:$D$120,3)=1,COUNTIFS(Assessments!$A$2:$A$120,$A12,Assessments!$D$2:$D$120,4)=1,COUNTIFS(Assessments!$A$2:$A$120,$A12,Assessments!$D$2:$D$120,5)=1,COUNTIFS(Assessments!$A$2:$A$120,$A12,Assessments!$D$2:$D$120,6)=1,COUNTIFS(Assessments!$A$2:$A$120,$A12,Assessments!$D$2:$D$120,"&gt;=1",Assessments!$D$2:$D$120,"&lt;=6",Assessments!$G$2:$G$120,$A$2)+COUNTIFS(Assessments!$A$2:$A$120,$A12,Assessments!$D$2:$D$120,"&gt;=1",Assessments!$D$2:$D$120,"&lt;=6",Assessments!$G$2:$G$120,$A$3)+COUNTIFS(Assessments!$A$2:$A$120,$A12,Assessments!$D$2:$D$120,"&gt;=1",Assessments!$D$2:$D$120,"&lt;=6",Assessments!$G$2:$G$120,$A$4)+COUNTIFS(Assessments!$A$2:$A$120,$A12,Assessments!$D$2:$D$120,"&gt;=1",Assessments!$D$2:$D$120,"&lt;=6",Assessments!$G$2:$G$120,$A$5)=6),IF(COUNTIFS(Assessments!$A$2:$A$120,$A12,Assessments!$D$2:$D$120,"&gt;=1",Assessments!$D$2:$D$120,"&lt;=6",Assessments!$G$2:$G$120,$A$5)&gt;0,$A$5,IF(COUNTIFS(Assessments!$A$2:$A$120,$A12,Assessments!$D$2:$D$120,"&gt;=1",Assessments!$D$2:$D$120,"&lt;=6",Assessments!$G$2:$G$120,$A$4)&gt;0,$A$4,IF(COUNTIFS(Assessments!$A$2:$A$120,$A12,Assessments!$D$2:$D$120,"&gt;=1",Assessments!$D$2:$D$120,"&lt;=6",Assessments!$G$2:$G$120,$A$3)&gt;0,$A$3,$A$2))),"Check assessments")</x:f>
        <x:v>Definitely High</x:v>
      </x:c>
      <x:c r="C12" s="4" t="str">
        <x:v>Higher attrition and free-living adherence concern</x:v>
      </x:c>
      <x:c r="D12" s="3"/>
      <x:c r="E12" s="3"/>
      <x:c r="F12" s="3"/>
      <x:c r="G12" s="3"/>
      <x:c r="H12" s="3"/>
      <x:c r="I12" s="3"/>
    </x:row>
    <x:row r="13" ht="42">
      <x:c r="A13" s="4" t="str">
        <x:v>Enomoto_2026</x:v>
      </x:c>
      <x:c r="B13" s="10" t="str">
        <x:f>IF(AND(COUNTIFS(Assessments!$A$2:$A$120,$A13,Assessments!$D$2:$D$120,1)=1,COUNTIFS(Assessments!$A$2:$A$120,$A13,Assessments!$D$2:$D$120,2)=1,COUNTIFS(Assessments!$A$2:$A$120,$A13,Assessments!$D$2:$D$120,3)=1,COUNTIFS(Assessments!$A$2:$A$120,$A13,Assessments!$D$2:$D$120,4)=1,COUNTIFS(Assessments!$A$2:$A$120,$A13,Assessments!$D$2:$D$120,5)=1,COUNTIFS(Assessments!$A$2:$A$120,$A13,Assessments!$D$2:$D$120,6)=1,COUNTIFS(Assessments!$A$2:$A$120,$A13,Assessments!$D$2:$D$120,"&gt;=1",Assessments!$D$2:$D$120,"&lt;=6",Assessments!$G$2:$G$120,$A$2)+COUNTIFS(Assessments!$A$2:$A$120,$A13,Assessments!$D$2:$D$120,"&gt;=1",Assessments!$D$2:$D$120,"&lt;=6",Assessments!$G$2:$G$120,$A$3)+COUNTIFS(Assessments!$A$2:$A$120,$A13,Assessments!$D$2:$D$120,"&gt;=1",Assessments!$D$2:$D$120,"&lt;=6",Assessments!$G$2:$G$120,$A$4)+COUNTIFS(Assessments!$A$2:$A$120,$A13,Assessments!$D$2:$D$120,"&gt;=1",Assessments!$D$2:$D$120,"&lt;=6",Assessments!$G$2:$G$120,$A$5)=6),IF(COUNTIFS(Assessments!$A$2:$A$120,$A13,Assessments!$D$2:$D$120,"&gt;=1",Assessments!$D$2:$D$120,"&lt;=6",Assessments!$G$2:$G$120,$A$5)&gt;0,$A$5,IF(COUNTIFS(Assessments!$A$2:$A$120,$A13,Assessments!$D$2:$D$120,"&gt;=1",Assessments!$D$2:$D$120,"&lt;=6",Assessments!$G$2:$G$120,$A$4)&gt;0,$A$4,IF(COUNTIFS(Assessments!$A$2:$A$120,$A13,Assessments!$D$2:$D$120,"&gt;=1",Assessments!$D$2:$D$120,"&lt;=6",Assessments!$G$2:$G$120,$A$3)&gt;0,$A$3,$A$2))),"Check assessments")</x:f>
        <x:v>Probably High</x:v>
      </x:c>
      <x:c r="C13" s="4" t="str">
        <x:v>Sequence/concealment and free-living behavior concern</x:v>
      </x:c>
      <x:c r="D13" s="3"/>
      <x:c r="E13" s="3"/>
      <x:c r="F13" s="3"/>
      <x:c r="G13" s="3"/>
      <x:c r="H13" s="3"/>
      <x:c r="I13" s="3"/>
    </x:row>
    <x:row r="14" ht="42">
      <x:c r="A14" s="4" t="str">
        <x:v>Garaulet_2022</x:v>
      </x:c>
      <x:c r="B14" s="10" t="str">
        <x:f>IF(AND(COUNTIFS(Assessments!$A$2:$A$120,$A14,Assessments!$D$2:$D$120,1)=1,COUNTIFS(Assessments!$A$2:$A$120,$A14,Assessments!$D$2:$D$120,2)=1,COUNTIFS(Assessments!$A$2:$A$120,$A14,Assessments!$D$2:$D$120,3)=1,COUNTIFS(Assessments!$A$2:$A$120,$A14,Assessments!$D$2:$D$120,4)=1,COUNTIFS(Assessments!$A$2:$A$120,$A14,Assessments!$D$2:$D$120,5)=1,COUNTIFS(Assessments!$A$2:$A$120,$A14,Assessments!$D$2:$D$120,6)=1,COUNTIFS(Assessments!$A$2:$A$120,$A14,Assessments!$D$2:$D$120,"&gt;=1",Assessments!$D$2:$D$120,"&lt;=6",Assessments!$G$2:$G$120,$A$2)+COUNTIFS(Assessments!$A$2:$A$120,$A14,Assessments!$D$2:$D$120,"&gt;=1",Assessments!$D$2:$D$120,"&lt;=6",Assessments!$G$2:$G$120,$A$3)+COUNTIFS(Assessments!$A$2:$A$120,$A14,Assessments!$D$2:$D$120,"&gt;=1",Assessments!$D$2:$D$120,"&lt;=6",Assessments!$G$2:$G$120,$A$4)+COUNTIFS(Assessments!$A$2:$A$120,$A14,Assessments!$D$2:$D$120,"&gt;=1",Assessments!$D$2:$D$120,"&lt;=6",Assessments!$G$2:$G$120,$A$5)=6),IF(COUNTIFS(Assessments!$A$2:$A$120,$A14,Assessments!$D$2:$D$120,"&gt;=1",Assessments!$D$2:$D$120,"&lt;=6",Assessments!$G$2:$G$120,$A$5)&gt;0,$A$5,IF(COUNTIFS(Assessments!$A$2:$A$120,$A14,Assessments!$D$2:$D$120,"&gt;=1",Assessments!$D$2:$D$120,"&lt;=6",Assessments!$G$2:$G$120,$A$4)&gt;0,$A$4,IF(COUNTIFS(Assessments!$A$2:$A$120,$A14,Assessments!$D$2:$D$120,"&gt;=1",Assessments!$D$2:$D$120,"&lt;=6",Assessments!$G$2:$G$120,$A$3)&gt;0,$A$3,$A$2))),"Check assessments")</x:f>
        <x:v>Probably High</x:v>
      </x:c>
      <x:c r="C14" s="4" t="str">
        <x:v>Sequence and concealment uncertainty</x:v>
      </x:c>
      <x:c r="D14" s="3"/>
      <x:c r="E14" s="3"/>
      <x:c r="F14" s="3"/>
      <x:c r="G14" s="3"/>
      <x:c r="H14" s="3"/>
      <x:c r="I14" s="3"/>
    </x:row>
    <x:row r="15" ht="56">
      <x:c r="A15" s="4" t="str">
        <x:v>Gibbs_2014</x:v>
      </x:c>
      <x:c r="B15" s="10" t="str">
        <x:f>IF(AND(COUNTIFS(Assessments!$A$2:$A$120,$A15,Assessments!$D$2:$D$120,1)=1,COUNTIFS(Assessments!$A$2:$A$120,$A15,Assessments!$D$2:$D$120,2)=1,COUNTIFS(Assessments!$A$2:$A$120,$A15,Assessments!$D$2:$D$120,3)=1,COUNTIFS(Assessments!$A$2:$A$120,$A15,Assessments!$D$2:$D$120,4)=1,COUNTIFS(Assessments!$A$2:$A$120,$A15,Assessments!$D$2:$D$120,5)=1,COUNTIFS(Assessments!$A$2:$A$120,$A15,Assessments!$D$2:$D$120,6)=1,COUNTIFS(Assessments!$A$2:$A$120,$A15,Assessments!$D$2:$D$120,"&gt;=1",Assessments!$D$2:$D$120,"&lt;=6",Assessments!$G$2:$G$120,$A$2)+COUNTIFS(Assessments!$A$2:$A$120,$A15,Assessments!$D$2:$D$120,"&gt;=1",Assessments!$D$2:$D$120,"&lt;=6",Assessments!$G$2:$G$120,$A$3)+COUNTIFS(Assessments!$A$2:$A$120,$A15,Assessments!$D$2:$D$120,"&gt;=1",Assessments!$D$2:$D$120,"&lt;=6",Assessments!$G$2:$G$120,$A$4)+COUNTIFS(Assessments!$A$2:$A$120,$A15,Assessments!$D$2:$D$120,"&gt;=1",Assessments!$D$2:$D$120,"&lt;=6",Assessments!$G$2:$G$120,$A$5)=6),IF(COUNTIFS(Assessments!$A$2:$A$120,$A15,Assessments!$D$2:$D$120,"&gt;=1",Assessments!$D$2:$D$120,"&lt;=6",Assessments!$G$2:$G$120,$A$5)&gt;0,$A$5,IF(COUNTIFS(Assessments!$A$2:$A$120,$A15,Assessments!$D$2:$D$120,"&gt;=1",Assessments!$D$2:$D$120,"&lt;=6",Assessments!$G$2:$G$120,$A$4)&gt;0,$A$4,IF(COUNTIFS(Assessments!$A$2:$A$120,$A15,Assessments!$D$2:$D$120,"&gt;=1",Assessments!$D$2:$D$120,"&lt;=6",Assessments!$G$2:$G$120,$A$3)&gt;0,$A$3,$A$2))),"Check assessments")</x:f>
        <x:v>Probably High</x:v>
      </x:c>
      <x:c r="C15" s="4" t="str">
        <x:v>Sequence/concealment uncertainty; fasting-duration imbalance</x:v>
      </x:c>
      <x:c r="D15" s="3"/>
      <x:c r="E15" s="3"/>
      <x:c r="F15" s="3"/>
      <x:c r="G15" s="3"/>
      <x:c r="H15" s="3"/>
      <x:c r="I15" s="3"/>
    </x:row>
    <x:row r="16" ht="70">
      <x:c r="A16" s="4" t="str">
        <x:v>Gu_2020</x:v>
      </x:c>
      <x:c r="B16" s="10" t="str">
        <x:f>IF(AND(COUNTIFS(Assessments!$A$2:$A$120,$A16,Assessments!$D$2:$D$120,1)=1,COUNTIFS(Assessments!$A$2:$A$120,$A16,Assessments!$D$2:$D$120,2)=1,COUNTIFS(Assessments!$A$2:$A$120,$A16,Assessments!$D$2:$D$120,3)=1,COUNTIFS(Assessments!$A$2:$A$120,$A16,Assessments!$D$2:$D$120,4)=1,COUNTIFS(Assessments!$A$2:$A$120,$A16,Assessments!$D$2:$D$120,5)=1,COUNTIFS(Assessments!$A$2:$A$120,$A16,Assessments!$D$2:$D$120,6)=1,COUNTIFS(Assessments!$A$2:$A$120,$A16,Assessments!$D$2:$D$120,"&gt;=1",Assessments!$D$2:$D$120,"&lt;=6",Assessments!$G$2:$G$120,$A$2)+COUNTIFS(Assessments!$A$2:$A$120,$A16,Assessments!$D$2:$D$120,"&gt;=1",Assessments!$D$2:$D$120,"&lt;=6",Assessments!$G$2:$G$120,$A$3)+COUNTIFS(Assessments!$A$2:$A$120,$A16,Assessments!$D$2:$D$120,"&gt;=1",Assessments!$D$2:$D$120,"&lt;=6",Assessments!$G$2:$G$120,$A$4)+COUNTIFS(Assessments!$A$2:$A$120,$A16,Assessments!$D$2:$D$120,"&gt;=1",Assessments!$D$2:$D$120,"&lt;=6",Assessments!$G$2:$G$120,$A$5)=6),IF(COUNTIFS(Assessments!$A$2:$A$120,$A16,Assessments!$D$2:$D$120,"&gt;=1",Assessments!$D$2:$D$120,"&lt;=6",Assessments!$G$2:$G$120,$A$5)&gt;0,$A$5,IF(COUNTIFS(Assessments!$A$2:$A$120,$A16,Assessments!$D$2:$D$120,"&gt;=1",Assessments!$D$2:$D$120,"&lt;=6",Assessments!$G$2:$G$120,$A$4)&gt;0,$A$4,IF(COUNTIFS(Assessments!$A$2:$A$120,$A16,Assessments!$D$2:$D$120,"&gt;=1",Assessments!$D$2:$D$120,"&lt;=6",Assessments!$G$2:$G$120,$A$3)&gt;0,$A$3,$A$2))),"Check assessments")</x:f>
        <x:v>Probably High</x:v>
      </x:c>
      <x:c r="C16" s="4" t="str">
        <x:v>Sequence concealment uncertainty; reciprocal snack timing</x:v>
      </x:c>
      <x:c r="D16" s="3"/>
      <x:c r="E16" s="3"/>
      <x:c r="F16" s="3"/>
      <x:c r="G16" s="3"/>
      <x:c r="H16" s="3"/>
      <x:c r="I16" s="3"/>
    </x:row>
    <x:row r="17" ht="28">
      <x:c r="A17" s="4" t="str">
        <x:v>Haldar_2020</x:v>
      </x:c>
      <x:c r="B17" s="10" t="str">
        <x:f>IF(AND(COUNTIFS(Assessments!$A$2:$A$120,$A17,Assessments!$D$2:$D$120,1)=1,COUNTIFS(Assessments!$A$2:$A$120,$A17,Assessments!$D$2:$D$120,2)=1,COUNTIFS(Assessments!$A$2:$A$120,$A17,Assessments!$D$2:$D$120,3)=1,COUNTIFS(Assessments!$A$2:$A$120,$A17,Assessments!$D$2:$D$120,4)=1,COUNTIFS(Assessments!$A$2:$A$120,$A17,Assessments!$D$2:$D$120,5)=1,COUNTIFS(Assessments!$A$2:$A$120,$A17,Assessments!$D$2:$D$120,6)=1,COUNTIFS(Assessments!$A$2:$A$120,$A17,Assessments!$D$2:$D$120,"&gt;=1",Assessments!$D$2:$D$120,"&lt;=6",Assessments!$G$2:$G$120,$A$2)+COUNTIFS(Assessments!$A$2:$A$120,$A17,Assessments!$D$2:$D$120,"&gt;=1",Assessments!$D$2:$D$120,"&lt;=6",Assessments!$G$2:$G$120,$A$3)+COUNTIFS(Assessments!$A$2:$A$120,$A17,Assessments!$D$2:$D$120,"&gt;=1",Assessments!$D$2:$D$120,"&lt;=6",Assessments!$G$2:$G$120,$A$4)+COUNTIFS(Assessments!$A$2:$A$120,$A17,Assessments!$D$2:$D$120,"&gt;=1",Assessments!$D$2:$D$120,"&lt;=6",Assessments!$G$2:$G$120,$A$5)=6),IF(COUNTIFS(Assessments!$A$2:$A$120,$A17,Assessments!$D$2:$D$120,"&gt;=1",Assessments!$D$2:$D$120,"&lt;=6",Assessments!$G$2:$G$120,$A$5)&gt;0,$A$5,IF(COUNTIFS(Assessments!$A$2:$A$120,$A17,Assessments!$D$2:$D$120,"&gt;=1",Assessments!$D$2:$D$120,"&lt;=6",Assessments!$G$2:$G$120,$A$4)&gt;0,$A$4,IF(COUNTIFS(Assessments!$A$2:$A$120,$A17,Assessments!$D$2:$D$120,"&gt;=1",Assessments!$D$2:$D$120,"&lt;=6",Assessments!$G$2:$G$120,$A$3)&gt;0,$A$3,$A$2))),"Check assessments")</x:f>
        <x:v>Definitely High</x:v>
      </x:c>
      <x:c r="C17" s="4" t="str">
        <x:v>Higher attrition/per-protocol concern</x:v>
      </x:c>
      <x:c r="D17" s="3"/>
      <x:c r="E17" s="3"/>
      <x:c r="F17" s="3"/>
      <x:c r="G17" s="3"/>
      <x:c r="H17" s="3"/>
      <x:c r="I17" s="3"/>
    </x:row>
    <x:row r="18" ht="42">
      <x:c r="A18" s="4" t="str">
        <x:v>Jarrett_1972</x:v>
      </x:c>
      <x:c r="B18" s="10" t="str">
        <x:f>IF(AND(COUNTIFS(Assessments!$A$2:$A$120,$A18,Assessments!$D$2:$D$120,1)=1,COUNTIFS(Assessments!$A$2:$A$120,$A18,Assessments!$D$2:$D$120,2)=1,COUNTIFS(Assessments!$A$2:$A$120,$A18,Assessments!$D$2:$D$120,3)=1,COUNTIFS(Assessments!$A$2:$A$120,$A18,Assessments!$D$2:$D$120,4)=1,COUNTIFS(Assessments!$A$2:$A$120,$A18,Assessments!$D$2:$D$120,5)=1,COUNTIFS(Assessments!$A$2:$A$120,$A18,Assessments!$D$2:$D$120,6)=1,COUNTIFS(Assessments!$A$2:$A$120,$A18,Assessments!$D$2:$D$120,"&gt;=1",Assessments!$D$2:$D$120,"&lt;=6",Assessments!$G$2:$G$120,$A$2)+COUNTIFS(Assessments!$A$2:$A$120,$A18,Assessments!$D$2:$D$120,"&gt;=1",Assessments!$D$2:$D$120,"&lt;=6",Assessments!$G$2:$G$120,$A$3)+COUNTIFS(Assessments!$A$2:$A$120,$A18,Assessments!$D$2:$D$120,"&gt;=1",Assessments!$D$2:$D$120,"&lt;=6",Assessments!$G$2:$G$120,$A$4)+COUNTIFS(Assessments!$A$2:$A$120,$A18,Assessments!$D$2:$D$120,"&gt;=1",Assessments!$D$2:$D$120,"&lt;=6",Assessments!$G$2:$G$120,$A$5)=6),IF(COUNTIFS(Assessments!$A$2:$A$120,$A18,Assessments!$D$2:$D$120,"&gt;=1",Assessments!$D$2:$D$120,"&lt;=6",Assessments!$G$2:$G$120,$A$5)&gt;0,$A$5,IF(COUNTIFS(Assessments!$A$2:$A$120,$A18,Assessments!$D$2:$D$120,"&gt;=1",Assessments!$D$2:$D$120,"&lt;=6",Assessments!$G$2:$G$120,$A$4)&gt;0,$A$4,IF(COUNTIFS(Assessments!$A$2:$A$120,$A18,Assessments!$D$2:$D$120,"&gt;=1",Assessments!$D$2:$D$120,"&lt;=6",Assessments!$G$2:$G$120,$A$3)&gt;0,$A$3,$A$2))),"Check assessments")</x:f>
        <x:v>Probably High</x:v>
      </x:c>
      <x:c r="C18" s="4" t="str">
        <x:v>Sequence and concealment uncertainty</x:v>
      </x:c>
      <x:c r="D18" s="3"/>
      <x:c r="E18" s="3"/>
      <x:c r="F18" s="3"/>
      <x:c r="G18" s="3"/>
      <x:c r="H18" s="3"/>
      <x:c r="I18" s="3"/>
    </x:row>
    <x:row r="19" ht="42">
      <x:c r="A19" s="4" t="str">
        <x:v>Lopez_Minguez_2018</x:v>
      </x:c>
      <x:c r="B19" s="10" t="str">
        <x:f>IF(AND(COUNTIFS(Assessments!$A$2:$A$120,$A19,Assessments!$D$2:$D$120,1)=1,COUNTIFS(Assessments!$A$2:$A$120,$A19,Assessments!$D$2:$D$120,2)=1,COUNTIFS(Assessments!$A$2:$A$120,$A19,Assessments!$D$2:$D$120,3)=1,COUNTIFS(Assessments!$A$2:$A$120,$A19,Assessments!$D$2:$D$120,4)=1,COUNTIFS(Assessments!$A$2:$A$120,$A19,Assessments!$D$2:$D$120,5)=1,COUNTIFS(Assessments!$A$2:$A$120,$A19,Assessments!$D$2:$D$120,6)=1,COUNTIFS(Assessments!$A$2:$A$120,$A19,Assessments!$D$2:$D$120,"&gt;=1",Assessments!$D$2:$D$120,"&lt;=6",Assessments!$G$2:$G$120,$A$2)+COUNTIFS(Assessments!$A$2:$A$120,$A19,Assessments!$D$2:$D$120,"&gt;=1",Assessments!$D$2:$D$120,"&lt;=6",Assessments!$G$2:$G$120,$A$3)+COUNTIFS(Assessments!$A$2:$A$120,$A19,Assessments!$D$2:$D$120,"&gt;=1",Assessments!$D$2:$D$120,"&lt;=6",Assessments!$G$2:$G$120,$A$4)+COUNTIFS(Assessments!$A$2:$A$120,$A19,Assessments!$D$2:$D$120,"&gt;=1",Assessments!$D$2:$D$120,"&lt;=6",Assessments!$G$2:$G$120,$A$5)=6),IF(COUNTIFS(Assessments!$A$2:$A$120,$A19,Assessments!$D$2:$D$120,"&gt;=1",Assessments!$D$2:$D$120,"&lt;=6",Assessments!$G$2:$G$120,$A$5)&gt;0,$A$5,IF(COUNTIFS(Assessments!$A$2:$A$120,$A19,Assessments!$D$2:$D$120,"&gt;=1",Assessments!$D$2:$D$120,"&lt;=6",Assessments!$G$2:$G$120,$A$4)&gt;0,$A$4,IF(COUNTIFS(Assessments!$A$2:$A$120,$A19,Assessments!$D$2:$D$120,"&gt;=1",Assessments!$D$2:$D$120,"&lt;=6",Assessments!$G$2:$G$120,$A$3)&gt;0,$A$3,$A$2))),"Check assessments")</x:f>
        <x:v>Probably High</x:v>
      </x:c>
      <x:c r="C19" s="4" t="str">
        <x:v>Sequence concealment uncertainty</x:v>
      </x:c>
      <x:c r="D19" s="3"/>
      <x:c r="E19" s="3"/>
      <x:c r="F19" s="3"/>
      <x:c r="G19" s="3"/>
      <x:c r="H19" s="3"/>
      <x:c r="I19" s="3"/>
    </x:row>
    <x:row r="20" ht="42">
      <x:c r="A20" s="4" t="str">
        <x:v>Lu_2022</x:v>
      </x:c>
      <x:c r="B20" s="10" t="str">
        <x:f>IF(AND(COUNTIFS(Assessments!$A$2:$A$120,$A20,Assessments!$D$2:$D$120,1)=1,COUNTIFS(Assessments!$A$2:$A$120,$A20,Assessments!$D$2:$D$120,2)=1,COUNTIFS(Assessments!$A$2:$A$120,$A20,Assessments!$D$2:$D$120,3)=1,COUNTIFS(Assessments!$A$2:$A$120,$A20,Assessments!$D$2:$D$120,4)=1,COUNTIFS(Assessments!$A$2:$A$120,$A20,Assessments!$D$2:$D$120,5)=1,COUNTIFS(Assessments!$A$2:$A$120,$A20,Assessments!$D$2:$D$120,6)=1,COUNTIFS(Assessments!$A$2:$A$120,$A20,Assessments!$D$2:$D$120,"&gt;=1",Assessments!$D$2:$D$120,"&lt;=6",Assessments!$G$2:$G$120,$A$2)+COUNTIFS(Assessments!$A$2:$A$120,$A20,Assessments!$D$2:$D$120,"&gt;=1",Assessments!$D$2:$D$120,"&lt;=6",Assessments!$G$2:$G$120,$A$3)+COUNTIFS(Assessments!$A$2:$A$120,$A20,Assessments!$D$2:$D$120,"&gt;=1",Assessments!$D$2:$D$120,"&lt;=6",Assessments!$G$2:$G$120,$A$4)+COUNTIFS(Assessments!$A$2:$A$120,$A20,Assessments!$D$2:$D$120,"&gt;=1",Assessments!$D$2:$D$120,"&lt;=6",Assessments!$G$2:$G$120,$A$5)=6),IF(COUNTIFS(Assessments!$A$2:$A$120,$A20,Assessments!$D$2:$D$120,"&gt;=1",Assessments!$D$2:$D$120,"&lt;=6",Assessments!$G$2:$G$120,$A$5)&gt;0,$A$5,IF(COUNTIFS(Assessments!$A$2:$A$120,$A20,Assessments!$D$2:$D$120,"&gt;=1",Assessments!$D$2:$D$120,"&lt;=6",Assessments!$G$2:$G$120,$A$4)&gt;0,$A$4,IF(COUNTIFS(Assessments!$A$2:$A$120,$A20,Assessments!$D$2:$D$120,"&gt;=1",Assessments!$D$2:$D$120,"&lt;=6",Assessments!$G$2:$G$120,$A$3)&gt;0,$A$3,$A$2))),"Check assessments")</x:f>
        <x:v>Definitely High</x:v>
      </x:c>
      <x:c r="C20" s="4" t="str">
        <x:v>Capillary missing data; sequence/concealment uncertainty; AUC-window ambiguity</x:v>
      </x:c>
      <x:c r="D20" s="3"/>
      <x:c r="E20" s="3"/>
      <x:c r="F20" s="3"/>
      <x:c r="G20" s="3"/>
      <x:c r="H20" s="3"/>
      <x:c r="I20" s="3"/>
    </x:row>
    <x:row r="21" ht="42">
      <x:c r="A21" s="4" t="str">
        <x:v>Nakamura_2021</x:v>
      </x:c>
      <x:c r="B21" s="10" t="str">
        <x:f>IF(AND(COUNTIFS(Assessments!$A$2:$A$120,$A21,Assessments!$D$2:$D$120,1)=1,COUNTIFS(Assessments!$A$2:$A$120,$A21,Assessments!$D$2:$D$120,2)=1,COUNTIFS(Assessments!$A$2:$A$120,$A21,Assessments!$D$2:$D$120,3)=1,COUNTIFS(Assessments!$A$2:$A$120,$A21,Assessments!$D$2:$D$120,4)=1,COUNTIFS(Assessments!$A$2:$A$120,$A21,Assessments!$D$2:$D$120,5)=1,COUNTIFS(Assessments!$A$2:$A$120,$A21,Assessments!$D$2:$D$120,6)=1,COUNTIFS(Assessments!$A$2:$A$120,$A21,Assessments!$D$2:$D$120,"&gt;=1",Assessments!$D$2:$D$120,"&lt;=6",Assessments!$G$2:$G$120,$A$2)+COUNTIFS(Assessments!$A$2:$A$120,$A21,Assessments!$D$2:$D$120,"&gt;=1",Assessments!$D$2:$D$120,"&lt;=6",Assessments!$G$2:$G$120,$A$3)+COUNTIFS(Assessments!$A$2:$A$120,$A21,Assessments!$D$2:$D$120,"&gt;=1",Assessments!$D$2:$D$120,"&lt;=6",Assessments!$G$2:$G$120,$A$4)+COUNTIFS(Assessments!$A$2:$A$120,$A21,Assessments!$D$2:$D$120,"&gt;=1",Assessments!$D$2:$D$120,"&lt;=6",Assessments!$G$2:$G$120,$A$5)=6),IF(COUNTIFS(Assessments!$A$2:$A$120,$A21,Assessments!$D$2:$D$120,"&gt;=1",Assessments!$D$2:$D$120,"&lt;=6",Assessments!$G$2:$G$120,$A$5)&gt;0,$A$5,IF(COUNTIFS(Assessments!$A$2:$A$120,$A21,Assessments!$D$2:$D$120,"&gt;=1",Assessments!$D$2:$D$120,"&lt;=6",Assessments!$G$2:$G$120,$A$4)&gt;0,$A$4,IF(COUNTIFS(Assessments!$A$2:$A$120,$A21,Assessments!$D$2:$D$120,"&gt;=1",Assessments!$D$2:$D$120,"&lt;=6",Assessments!$G$2:$G$120,$A$3)&gt;0,$A$3,$A$2))),"Check assessments")</x:f>
        <x:v>Probably High</x:v>
      </x:c>
      <x:c r="C21" s="4" t="str">
        <x:v>Moderate attrition and allocation-concealment concern</x:v>
      </x:c>
      <x:c r="D21" s="3"/>
      <x:c r="E21" s="3"/>
      <x:c r="F21" s="3"/>
      <x:c r="G21" s="3"/>
      <x:c r="H21" s="3"/>
      <x:c r="I21" s="3"/>
    </x:row>
    <x:row r="22" ht="42">
      <x:c r="A22" s="4" t="str">
        <x:v>Pizinger_2018</x:v>
      </x:c>
      <x:c r="B22" s="10" t="str">
        <x:f>IF(AND(COUNTIFS(Assessments!$A$2:$A$120,$A22,Assessments!$D$2:$D$120,1)=1,COUNTIFS(Assessments!$A$2:$A$120,$A22,Assessments!$D$2:$D$120,2)=1,COUNTIFS(Assessments!$A$2:$A$120,$A22,Assessments!$D$2:$D$120,3)=1,COUNTIFS(Assessments!$A$2:$A$120,$A22,Assessments!$D$2:$D$120,4)=1,COUNTIFS(Assessments!$A$2:$A$120,$A22,Assessments!$D$2:$D$120,5)=1,COUNTIFS(Assessments!$A$2:$A$120,$A22,Assessments!$D$2:$D$120,6)=1,COUNTIFS(Assessments!$A$2:$A$120,$A22,Assessments!$D$2:$D$120,"&gt;=1",Assessments!$D$2:$D$120,"&lt;=6",Assessments!$G$2:$G$120,$A$2)+COUNTIFS(Assessments!$A$2:$A$120,$A22,Assessments!$D$2:$D$120,"&gt;=1",Assessments!$D$2:$D$120,"&lt;=6",Assessments!$G$2:$G$120,$A$3)+COUNTIFS(Assessments!$A$2:$A$120,$A22,Assessments!$D$2:$D$120,"&gt;=1",Assessments!$D$2:$D$120,"&lt;=6",Assessments!$G$2:$G$120,$A$4)+COUNTIFS(Assessments!$A$2:$A$120,$A22,Assessments!$D$2:$D$120,"&gt;=1",Assessments!$D$2:$D$120,"&lt;=6",Assessments!$G$2:$G$120,$A$5)=6),IF(COUNTIFS(Assessments!$A$2:$A$120,$A22,Assessments!$D$2:$D$120,"&gt;=1",Assessments!$D$2:$D$120,"&lt;=6",Assessments!$G$2:$G$120,$A$5)&gt;0,$A$5,IF(COUNTIFS(Assessments!$A$2:$A$120,$A22,Assessments!$D$2:$D$120,"&gt;=1",Assessments!$D$2:$D$120,"&lt;=6",Assessments!$G$2:$G$120,$A$4)&gt;0,$A$4,IF(COUNTIFS(Assessments!$A$2:$A$120,$A22,Assessments!$D$2:$D$120,"&gt;=1",Assessments!$D$2:$D$120,"&lt;=6",Assessments!$G$2:$G$120,$A$3)&gt;0,$A$3,$A$2))),"Check assessments")</x:f>
        <x:v>Probably High</x:v>
      </x:c>
      <x:c r="C22" s="4" t="str">
        <x:v>Sequence/concealment uncertainty; one missing phase</x:v>
      </x:c>
      <x:c r="D22" s="3"/>
      <x:c r="E22" s="3"/>
      <x:c r="F22" s="3"/>
      <x:c r="G22" s="3"/>
      <x:c r="H22" s="3"/>
      <x:c r="I22" s="3"/>
    </x:row>
    <x:row r="23" ht="42">
      <x:c r="A23" s="4" t="str">
        <x:v>Sato_2011</x:v>
      </x:c>
      <x:c r="B23" s="10" t="str">
        <x:f>IF(AND(COUNTIFS(Assessments!$A$2:$A$120,$A23,Assessments!$D$2:$D$120,1)=1,COUNTIFS(Assessments!$A$2:$A$120,$A23,Assessments!$D$2:$D$120,2)=1,COUNTIFS(Assessments!$A$2:$A$120,$A23,Assessments!$D$2:$D$120,3)=1,COUNTIFS(Assessments!$A$2:$A$120,$A23,Assessments!$D$2:$D$120,4)=1,COUNTIFS(Assessments!$A$2:$A$120,$A23,Assessments!$D$2:$D$120,5)=1,COUNTIFS(Assessments!$A$2:$A$120,$A23,Assessments!$D$2:$D$120,6)=1,COUNTIFS(Assessments!$A$2:$A$120,$A23,Assessments!$D$2:$D$120,"&gt;=1",Assessments!$D$2:$D$120,"&lt;=6",Assessments!$G$2:$G$120,$A$2)+COUNTIFS(Assessments!$A$2:$A$120,$A23,Assessments!$D$2:$D$120,"&gt;=1",Assessments!$D$2:$D$120,"&lt;=6",Assessments!$G$2:$G$120,$A$3)+COUNTIFS(Assessments!$A$2:$A$120,$A23,Assessments!$D$2:$D$120,"&gt;=1",Assessments!$D$2:$D$120,"&lt;=6",Assessments!$G$2:$G$120,$A$4)+COUNTIFS(Assessments!$A$2:$A$120,$A23,Assessments!$D$2:$D$120,"&gt;=1",Assessments!$D$2:$D$120,"&lt;=6",Assessments!$G$2:$G$120,$A$5)=6),IF(COUNTIFS(Assessments!$A$2:$A$120,$A23,Assessments!$D$2:$D$120,"&gt;=1",Assessments!$D$2:$D$120,"&lt;=6",Assessments!$G$2:$G$120,$A$5)&gt;0,$A$5,IF(COUNTIFS(Assessments!$A$2:$A$120,$A23,Assessments!$D$2:$D$120,"&gt;=1",Assessments!$D$2:$D$120,"&lt;=6",Assessments!$G$2:$G$120,$A$4)&gt;0,$A$4,IF(COUNTIFS(Assessments!$A$2:$A$120,$A23,Assessments!$D$2:$D$120,"&gt;=1",Assessments!$D$2:$D$120,"&lt;=6",Assessments!$G$2:$G$120,$A$3)&gt;0,$A$3,$A$2))),"Check assessments")</x:f>
        <x:v>Probably High</x:v>
      </x:c>
      <x:c r="C23" s="4" t="str">
        <x:v>Sequence and concealment uncertainty</x:v>
      </x:c>
      <x:c r="D23" s="3"/>
      <x:c r="E23" s="3"/>
      <x:c r="F23" s="3"/>
      <x:c r="G23" s="3"/>
      <x:c r="H23" s="3"/>
      <x:c r="I23" s="3"/>
    </x:row>
    <x:row r="24" ht="42">
      <x:c r="A24" s="4" t="str">
        <x:v>Service_1983</x:v>
      </x:c>
      <x:c r="B24" s="10" t="str">
        <x:f>IF(AND(COUNTIFS(Assessments!$A$2:$A$120,$A24,Assessments!$D$2:$D$120,1)=1,COUNTIFS(Assessments!$A$2:$A$120,$A24,Assessments!$D$2:$D$120,2)=1,COUNTIFS(Assessments!$A$2:$A$120,$A24,Assessments!$D$2:$D$120,3)=1,COUNTIFS(Assessments!$A$2:$A$120,$A24,Assessments!$D$2:$D$120,4)=1,COUNTIFS(Assessments!$A$2:$A$120,$A24,Assessments!$D$2:$D$120,5)=1,COUNTIFS(Assessments!$A$2:$A$120,$A24,Assessments!$D$2:$D$120,6)=1,COUNTIFS(Assessments!$A$2:$A$120,$A24,Assessments!$D$2:$D$120,"&gt;=1",Assessments!$D$2:$D$120,"&lt;=6",Assessments!$G$2:$G$120,$A$2)+COUNTIFS(Assessments!$A$2:$A$120,$A24,Assessments!$D$2:$D$120,"&gt;=1",Assessments!$D$2:$D$120,"&lt;=6",Assessments!$G$2:$G$120,$A$3)+COUNTIFS(Assessments!$A$2:$A$120,$A24,Assessments!$D$2:$D$120,"&gt;=1",Assessments!$D$2:$D$120,"&lt;=6",Assessments!$G$2:$G$120,$A$4)+COUNTIFS(Assessments!$A$2:$A$120,$A24,Assessments!$D$2:$D$120,"&gt;=1",Assessments!$D$2:$D$120,"&lt;=6",Assessments!$G$2:$G$120,$A$5)=6),IF(COUNTIFS(Assessments!$A$2:$A$120,$A24,Assessments!$D$2:$D$120,"&gt;=1",Assessments!$D$2:$D$120,"&lt;=6",Assessments!$G$2:$G$120,$A$5)&gt;0,$A$5,IF(COUNTIFS(Assessments!$A$2:$A$120,$A24,Assessments!$D$2:$D$120,"&gt;=1",Assessments!$D$2:$D$120,"&lt;=6",Assessments!$G$2:$G$120,$A$4)&gt;0,$A$4,IF(COUNTIFS(Assessments!$A$2:$A$120,$A24,Assessments!$D$2:$D$120,"&gt;=1",Assessments!$D$2:$D$120,"&lt;=6",Assessments!$G$2:$G$120,$A$3)&gt;0,$A$3,$A$2))),"Check assessments")</x:f>
        <x:v>Probably High</x:v>
      </x:c>
      <x:c r="C24" s="4" t="str">
        <x:v>Sequence and concealment uncertainty</x:v>
      </x:c>
      <x:c r="D24" s="3"/>
      <x:c r="E24" s="3"/>
      <x:c r="F24" s="3"/>
      <x:c r="G24" s="3"/>
      <x:c r="H24" s="3"/>
      <x:c r="I24" s="3"/>
    </x:row>
    <x:row r="25" ht="42">
      <x:c r="A25" s="4" t="str">
        <x:v>Stutz_2024</x:v>
      </x:c>
      <x:c r="B25" s="10" t="str">
        <x:f>IF(AND(COUNTIFS(Assessments!$A$2:$A$120,$A25,Assessments!$D$2:$D$120,1)=1,COUNTIFS(Assessments!$A$2:$A$120,$A25,Assessments!$D$2:$D$120,2)=1,COUNTIFS(Assessments!$A$2:$A$120,$A25,Assessments!$D$2:$D$120,3)=1,COUNTIFS(Assessments!$A$2:$A$120,$A25,Assessments!$D$2:$D$120,4)=1,COUNTIFS(Assessments!$A$2:$A$120,$A25,Assessments!$D$2:$D$120,5)=1,COUNTIFS(Assessments!$A$2:$A$120,$A25,Assessments!$D$2:$D$120,6)=1,COUNTIFS(Assessments!$A$2:$A$120,$A25,Assessments!$D$2:$D$120,"&gt;=1",Assessments!$D$2:$D$120,"&lt;=6",Assessments!$G$2:$G$120,$A$2)+COUNTIFS(Assessments!$A$2:$A$120,$A25,Assessments!$D$2:$D$120,"&gt;=1",Assessments!$D$2:$D$120,"&lt;=6",Assessments!$G$2:$G$120,$A$3)+COUNTIFS(Assessments!$A$2:$A$120,$A25,Assessments!$D$2:$D$120,"&gt;=1",Assessments!$D$2:$D$120,"&lt;=6",Assessments!$G$2:$G$120,$A$4)+COUNTIFS(Assessments!$A$2:$A$120,$A25,Assessments!$D$2:$D$120,"&gt;=1",Assessments!$D$2:$D$120,"&lt;=6",Assessments!$G$2:$G$120,$A$5)=6),IF(COUNTIFS(Assessments!$A$2:$A$120,$A25,Assessments!$D$2:$D$120,"&gt;=1",Assessments!$D$2:$D$120,"&lt;=6",Assessments!$G$2:$G$120,$A$5)&gt;0,$A$5,IF(COUNTIFS(Assessments!$A$2:$A$120,$A25,Assessments!$D$2:$D$120,"&gt;=1",Assessments!$D$2:$D$120,"&lt;=6",Assessments!$G$2:$G$120,$A$4)&gt;0,$A$4,IF(COUNTIFS(Assessments!$A$2:$A$120,$A25,Assessments!$D$2:$D$120,"&gt;=1",Assessments!$D$2:$D$120,"&lt;=6",Assessments!$G$2:$G$120,$A$3)&gt;0,$A$3,$A$2))),"Check assessments")</x:f>
        <x:v>Definitely High</x:v>
      </x:c>
      <x:c r="C25" s="4" t="str">
        <x:v>Higher attrition concern; short washout</x:v>
      </x:c>
      <x:c r="D25" s="3"/>
      <x:c r="E25" s="3"/>
      <x:c r="F25" s="3"/>
      <x:c r="G25" s="3"/>
      <x:c r="H25" s="3"/>
      <x:c r="I25" s="3"/>
    </x:row>
    <x:row r="26" ht="70" customHeight="1">
      <x:c r="A26" s="4" t="str">
        <x:v>Sulaimani_2025</x:v>
      </x:c>
      <x:c r="B26" s="9" t="str">
        <x:f>IF(AND(COUNTIFS(Assessments!$A$2:$A$120,$A26,Assessments!$D$2:$D$120,1)=1,COUNTIFS(Assessments!$A$2:$A$120,$A26,Assessments!$D$2:$D$120,2)=1,COUNTIFS(Assessments!$A$2:$A$120,$A26,Assessments!$D$2:$D$120,3)=1,COUNTIFS(Assessments!$A$2:$A$120,$A26,Assessments!$D$2:$D$120,4)=1,COUNTIFS(Assessments!$A$2:$A$120,$A26,Assessments!$D$2:$D$120,5)=1,COUNTIFS(Assessments!$A$2:$A$120,$A26,Assessments!$D$2:$D$120,6)=1,COUNTIFS(Assessments!$A$2:$A$120,$A26,Assessments!$D$2:$D$120,"&gt;=1",Assessments!$D$2:$D$120,"&lt;=6",Assessments!$G$2:$G$120,$A$2)+COUNTIFS(Assessments!$A$2:$A$120,$A26,Assessments!$D$2:$D$120,"&gt;=1",Assessments!$D$2:$D$120,"&lt;=6",Assessments!$G$2:$G$120,$A$3)+COUNTIFS(Assessments!$A$2:$A$120,$A26,Assessments!$D$2:$D$120,"&gt;=1",Assessments!$D$2:$D$120,"&lt;=6",Assessments!$G$2:$G$120,$A$4)+COUNTIFS(Assessments!$A$2:$A$120,$A26,Assessments!$D$2:$D$120,"&gt;=1",Assessments!$D$2:$D$120,"&lt;=6",Assessments!$G$2:$G$120,$A$5)=6),IF(COUNTIFS(Assessments!$A$2:$A$120,$A26,Assessments!$D$2:$D$120,"&gt;=1",Assessments!$D$2:$D$120,"&lt;=6",Assessments!$G$2:$G$120,$A$5)&gt;0,$A$5,IF(COUNTIFS(Assessments!$A$2:$A$120,$A26,Assessments!$D$2:$D$120,"&gt;=1",Assessments!$D$2:$D$120,"&lt;=6",Assessments!$G$2:$G$120,$A$4)&gt;0,$A$4,IF(COUNTIFS(Assessments!$A$2:$A$120,$A26,Assessments!$D$2:$D$120,"&gt;=1",Assessments!$D$2:$D$120,"&lt;=6",Assessments!$G$2:$G$120,$A$3)&gt;0,$A$3,$A$2))),"Check assessments")</x:f>
        <x:v>Probably Low</x:v>
      </x:c>
      <x:c r="C26" s="4" t="str">
        <x:v>No severe core concern; paired precision remains unavailable</x:v>
      </x:c>
      <x:c r="D26" s="3"/>
      <x:c r="E26" s="3"/>
      <x:c r="F26" s="3"/>
      <x:c r="G26" s="3"/>
      <x:c r="H26" s="3"/>
      <x:c r="I26" s="3"/>
    </x:row>
  </x:sheetData>
  <x:mergeCells>
    <x:mergeCell ref="A7:I7"/>
  </x:mergeCells>
  <x:conditionalFormatting sqref="B10:B25 B27:B27">
    <x:cfRule type="expression" dxfId="7" priority="5">
      <x:formula>B10="Definitely Low"</x:formula>
    </x:cfRule>
    <x:cfRule type="expression" dxfId="6" priority="6">
      <x:formula>B10="Probably Low"</x:formula>
    </x:cfRule>
    <x:cfRule type="expression" dxfId="5" priority="7">
      <x:formula>B10="Probably High"</x:formula>
    </x:cfRule>
    <x:cfRule type="expression" dxfId="4" priority="8">
      <x:formula>B10="Definitely High"</x:formula>
    </x:cfRule>
  </x:conditionalFormatting>
  <x:conditionalFormatting sqref="B26:B26">
    <x:cfRule type="expression" dxfId="3" priority="1">
      <x:formula>B26="Definitely Low"</x:formula>
    </x:cfRule>
    <x:cfRule type="expression" dxfId="2" priority="2">
      <x:formula>B26="Probably Low"</x:formula>
    </x:cfRule>
    <x:cfRule type="expression" dxfId="1" priority="3">
      <x:formula>B26="Probably High"</x:formula>
    </x:cfRule>
    <x:cfRule type="expression" dxfId="0" priority="4">
      <x:formula>B26="Definitely High"</x:formula>
    </x:cfRule>
  </x:conditionalFormatting>
  <x:pageMargins left="0.7" right="0.7" top="0.75" bottom="0.75" header="0.3" footer="0.3"/>
</x:worksheet>
</file>